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Dashboard" sheetId="1" state="visible" r:id="rId1"/>
    <sheet xmlns:r="http://schemas.openxmlformats.org/officeDocument/2006/relationships" name="Leads CRM Tracker" sheetId="2" state="visible" r:id="rId2"/>
    <sheet xmlns:r="http://schemas.openxmlformats.org/officeDocument/2006/relationships" name="Product Rate Master" sheetId="3" state="visible" r:id="rId3"/>
    <sheet xmlns:r="http://schemas.openxmlformats.org/officeDocument/2006/relationships" name="Sales Team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₹ #,##,##0"/>
    <numFmt numFmtId="165" formatCode="0.0%"/>
  </numFmts>
  <fonts count="14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D2DFD0"/>
      <sz val="9.5"/>
    </font>
    <font>
      <name val="Segoe UI"/>
      <b val="1"/>
      <color rgb="00444444"/>
      <sz val="8.5"/>
    </font>
    <font>
      <name val="Segoe UI"/>
      <b val="1"/>
      <color rgb="00242F17"/>
      <sz val="16"/>
    </font>
    <font>
      <name val="Segoe UI"/>
      <i val="1"/>
      <color rgb="00666666"/>
      <sz val="8"/>
    </font>
    <font>
      <name val="Segoe UI"/>
      <b val="1"/>
      <color rgb="00242F17"/>
      <sz val="11"/>
    </font>
    <font>
      <name val="Segoe UI"/>
      <b val="1"/>
      <color rgb="00FFFFFF"/>
      <sz val="9.5"/>
    </font>
    <font>
      <name val="Segoe UI"/>
      <color rgb="001A1A1A"/>
      <sz val="9.5"/>
    </font>
    <font>
      <name val="Segoe UI"/>
      <i val="1"/>
      <color rgb="00D0DBD0"/>
      <sz val="8.5"/>
    </font>
    <font>
      <name val="Segoe UI"/>
      <b val="1"/>
      <color rgb="00FFFFFF"/>
      <sz val="10"/>
    </font>
    <font>
      <name val="Segoe UI"/>
      <b val="1"/>
      <color rgb="002B3B1B"/>
      <sz val="9"/>
    </font>
    <font>
      <name val="Segoe UI"/>
      <b val="1"/>
      <color rgb="001D4721"/>
      <sz val="9"/>
    </font>
    <font>
      <name val="Segoe UI"/>
      <b val="1"/>
      <color rgb="001A1A1A"/>
      <sz val="9.5"/>
    </font>
  </fonts>
  <fills count="14">
    <fill>
      <patternFill/>
    </fill>
    <fill>
      <patternFill patternType="gray125"/>
    </fill>
    <fill>
      <patternFill patternType="solid">
        <fgColor rgb="00242F17"/>
        <bgColor rgb="00242F17"/>
      </patternFill>
    </fill>
    <fill>
      <patternFill patternType="solid">
        <fgColor rgb="00F4F6F0"/>
        <bgColor rgb="00F4F6F0"/>
      </patternFill>
    </fill>
    <fill>
      <patternFill patternType="solid">
        <fgColor rgb="003D4C25"/>
        <bgColor rgb="003D4C25"/>
      </patternFill>
    </fill>
    <fill>
      <patternFill patternType="solid">
        <fgColor rgb="00F5F8F2"/>
        <bgColor rgb="00F5F8F2"/>
      </patternFill>
    </fill>
    <fill>
      <patternFill patternType="solid">
        <fgColor rgb="00324021"/>
        <bgColor rgb="00324021"/>
      </patternFill>
    </fill>
    <fill>
      <patternFill patternType="solid">
        <fgColor rgb="002C4A2E"/>
        <bgColor rgb="002C4A2E"/>
      </patternFill>
    </fill>
    <fill>
      <patternFill patternType="solid">
        <fgColor rgb="00E9F0E4"/>
        <bgColor rgb="00E9F0E4"/>
      </patternFill>
    </fill>
    <fill>
      <patternFill patternType="solid">
        <fgColor rgb="00E1EFE3"/>
        <bgColor rgb="00E1EFE3"/>
      </patternFill>
    </fill>
    <fill>
      <patternFill patternType="solid">
        <fgColor rgb="00465832"/>
        <bgColor rgb="00465832"/>
      </patternFill>
    </fill>
    <fill>
      <patternFill patternType="solid">
        <fgColor rgb="003B5E3E"/>
        <bgColor rgb="003B5E3E"/>
      </patternFill>
    </fill>
    <fill>
      <patternFill patternType="solid">
        <fgColor rgb="00FAFCF8"/>
        <bgColor rgb="00FAFCF8"/>
      </patternFill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00D0DCD0"/>
      </left>
      <right style="thin">
        <color rgb="00D0DCD0"/>
      </right>
      <top style="thin">
        <color rgb="00D0DCD0"/>
      </top>
      <bottom style="thin">
        <color rgb="00D0DCD0"/>
      </bottom>
    </border>
    <border>
      <left style="thin">
        <color rgb="00D0DCD0"/>
      </left>
      <right style="thin">
        <color rgb="00D0DCD0"/>
      </right>
      <top style="thin">
        <color rgb="00D0DCD0"/>
      </top>
      <bottom style="double">
        <color rgb="00242F17"/>
      </bottom>
    </border>
    <border>
      <left style="thin">
        <color rgb="00D0DCD0"/>
      </left>
      <right style="medium">
        <color rgb="00242F17"/>
      </right>
      <top style="thin">
        <color rgb="00D0DCD0"/>
      </top>
      <bottom style="thin">
        <color rgb="00D0DCD0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0" fillId="0" borderId="1" pivotButton="0" quotePrefix="0" xfId="0"/>
    <xf numFmtId="164" fontId="4" fillId="3" borderId="1" applyAlignment="1" pivotButton="0" quotePrefix="0" xfId="0">
      <alignment horizontal="center" vertical="center"/>
    </xf>
    <xf numFmtId="3" fontId="4" fillId="3" borderId="1" applyAlignment="1" pivotButton="0" quotePrefix="0" xfId="0">
      <alignment horizontal="center" vertical="center"/>
    </xf>
    <xf numFmtId="165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/>
    </xf>
    <xf numFmtId="0" fontId="7" fillId="4" borderId="2" applyAlignment="1" pivotButton="0" quotePrefix="0" xfId="0">
      <alignment horizontal="center" vertical="center"/>
    </xf>
    <xf numFmtId="0" fontId="7" fillId="4" borderId="2" pivotButton="0" quotePrefix="0" xfId="0"/>
    <xf numFmtId="3" fontId="7" fillId="4" borderId="2" applyAlignment="1" pivotButton="0" quotePrefix="0" xfId="0">
      <alignment horizontal="center" vertical="center"/>
    </xf>
    <xf numFmtId="164" fontId="7" fillId="4" borderId="2" applyAlignment="1" pivotButton="0" quotePrefix="0" xfId="0">
      <alignment horizontal="right" vertical="center"/>
    </xf>
    <xf numFmtId="0" fontId="0" fillId="4" borderId="2" pivotButton="0" quotePrefix="0" xfId="0"/>
    <xf numFmtId="0" fontId="9" fillId="4" borderId="2" pivotButton="0" quotePrefix="0" xfId="0"/>
    <xf numFmtId="0" fontId="10" fillId="6" borderId="0" applyAlignment="1" pivotButton="0" quotePrefix="0" xfId="0">
      <alignment horizontal="left" vertical="center" indent="1"/>
    </xf>
    <xf numFmtId="0" fontId="10" fillId="7" borderId="0" applyAlignment="1" pivotButton="0" quotePrefix="0" xfId="0">
      <alignment horizontal="left" vertical="center" indent="1"/>
    </xf>
    <xf numFmtId="0" fontId="11" fillId="8" borderId="0" applyAlignment="1" pivotButton="0" quotePrefix="0" xfId="0">
      <alignment horizontal="left" vertical="center" indent="1"/>
    </xf>
    <xf numFmtId="0" fontId="12" fillId="9" borderId="0" applyAlignment="1" pivotButton="0" quotePrefix="0" xfId="0">
      <alignment horizontal="left" vertical="center" indent="1"/>
    </xf>
    <xf numFmtId="0" fontId="7" fillId="1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7" fillId="10" borderId="3" applyAlignment="1" pivotButton="0" quotePrefix="0" xfId="0">
      <alignment horizontal="left" vertical="center"/>
    </xf>
    <xf numFmtId="0" fontId="7" fillId="11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right" vertical="center"/>
    </xf>
    <xf numFmtId="0" fontId="7" fillId="11" borderId="1" applyAlignment="1" pivotButton="0" quotePrefix="0" xfId="0">
      <alignment horizontal="left" vertical="center"/>
    </xf>
    <xf numFmtId="0" fontId="8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left" vertical="center"/>
    </xf>
    <xf numFmtId="0" fontId="8" fillId="12" borderId="3" applyAlignment="1" pivotButton="0" quotePrefix="0" xfId="0">
      <alignment horizontal="left" vertical="center"/>
    </xf>
    <xf numFmtId="0" fontId="8" fillId="13" borderId="1" applyAlignment="1" pivotButton="0" quotePrefix="0" xfId="0">
      <alignment horizontal="center" vertical="center"/>
    </xf>
    <xf numFmtId="164" fontId="8" fillId="13" borderId="1" applyAlignment="1" pivotButton="0" quotePrefix="0" xfId="0">
      <alignment horizontal="right" vertical="center"/>
    </xf>
    <xf numFmtId="0" fontId="8" fillId="13" borderId="1" applyAlignment="1" pivotButton="0" quotePrefix="0" xfId="0">
      <alignment horizontal="left" vertical="center"/>
    </xf>
    <xf numFmtId="0" fontId="8" fillId="5" borderId="3" applyAlignment="1" pivotButton="0" quotePrefix="0" xfId="0">
      <alignment horizontal="left" vertical="center"/>
    </xf>
    <xf numFmtId="0" fontId="7" fillId="10" borderId="2" applyAlignment="1" pivotButton="0" quotePrefix="0" xfId="0">
      <alignment horizontal="center" vertical="center"/>
    </xf>
    <xf numFmtId="0" fontId="7" fillId="10" borderId="2" applyAlignment="1" pivotButton="0" quotePrefix="0" xfId="0">
      <alignment horizontal="left" vertical="center" indent="1"/>
    </xf>
    <xf numFmtId="0" fontId="7" fillId="11" borderId="2" applyAlignment="1" pivotButton="0" quotePrefix="0" xfId="0">
      <alignment horizontal="right" vertical="center"/>
    </xf>
    <xf numFmtId="164" fontId="7" fillId="11" borderId="2" applyAlignment="1" pivotButton="0" quotePrefix="0" xfId="0">
      <alignment horizontal="right" vertical="center"/>
    </xf>
    <xf numFmtId="0" fontId="9" fillId="11" borderId="2" pivotButton="0" quotePrefix="0" xfId="0"/>
    <xf numFmtId="0" fontId="13" fillId="0" borderId="1" applyAlignment="1" pivotButton="0" quotePrefix="0" xfId="0">
      <alignment horizontal="left" vertical="center"/>
    </xf>
    <xf numFmtId="165" fontId="8" fillId="0" borderId="1" applyAlignment="1" pivotButton="0" quotePrefix="0" xfId="0">
      <alignment horizontal="center" vertical="center"/>
    </xf>
    <xf numFmtId="165" fontId="7" fillId="4" borderId="2" applyAlignment="1" pivotButton="0" quotePrefix="0" xfId="0">
      <alignment horizontal="center" vertical="center"/>
    </xf>
  </cellXfs>
  <cellStyles count="1">
    <cellStyle name="Normal" xfId="0" builtinId="0" hidden="0"/>
  </cellStyles>
  <dxfs count="6">
    <dxf>
      <font>
        <name val="Segoe UI"/>
        <b val="1"/>
        <color rgb="00137333"/>
        <sz val="9.5"/>
      </font>
      <fill>
        <patternFill patternType="solid">
          <fgColor rgb="00E6F4EA"/>
          <bgColor rgb="00E6F4EA"/>
        </patternFill>
      </fill>
    </dxf>
    <dxf>
      <font>
        <name val="Segoe UI"/>
        <b val="1"/>
        <color rgb="00B06000"/>
        <sz val="9.5"/>
      </font>
      <fill>
        <patternFill patternType="solid">
          <fgColor rgb="00FEF7E0"/>
          <bgColor rgb="00FEF7E0"/>
        </patternFill>
      </fill>
    </dxf>
    <dxf>
      <font>
        <name val="Segoe UI"/>
        <b val="1"/>
        <color rgb="001A73E8"/>
        <sz val="9.5"/>
      </font>
      <fill>
        <patternFill patternType="solid">
          <fgColor rgb="00E8F0FE"/>
          <bgColor rgb="00E8F0FE"/>
        </patternFill>
      </fill>
    </dxf>
    <dxf>
      <font>
        <name val="Segoe UI"/>
        <b val="1"/>
        <color rgb="003C4043"/>
        <sz val="9.5"/>
      </font>
      <fill>
        <patternFill patternType="solid">
          <fgColor rgb="00F1F3F4"/>
          <bgColor rgb="00F1F3F4"/>
        </patternFill>
      </fill>
    </dxf>
    <dxf>
      <font>
        <name val="Segoe UI"/>
        <b val="1"/>
        <color rgb="00C5221F"/>
        <sz val="9.5"/>
      </font>
      <fill>
        <patternFill patternType="solid">
          <fgColor rgb="00FCE8E6"/>
          <bgColor rgb="00FCE8E6"/>
        </patternFill>
      </fill>
    </dxf>
    <dxf>
      <font>
        <name val="Segoe UI"/>
        <b val="1"/>
        <color rgb="008430CE"/>
        <sz val="9.5"/>
      </font>
      <fill>
        <patternFill patternType="solid">
          <fgColor rgb="00F3E8FD"/>
          <bgColor rgb="00F3E8F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" customWidth="1" min="4" max="4"/>
    <col width="14" customWidth="1" min="5" max="5"/>
    <col width="14" customWidth="1" min="6" max="6"/>
    <col width="18" customWidth="1" min="7" max="7"/>
    <col width="18" customWidth="1" min="8" max="8"/>
    <col width="28" customWidth="1" min="9" max="9"/>
    <col width="50" customWidth="1" min="10" max="10"/>
  </cols>
  <sheetData>
    <row r="1" ht="34" customHeight="1">
      <c r="A1" s="1" t="inlineStr">
        <is>
          <t>KTA SPICES - EXECUTIVE MARKETING &amp; REVENUE DASHBOARD</t>
        </is>
      </c>
    </row>
    <row r="2" ht="20" customHeight="1">
      <c r="A2" s="2" t="inlineStr">
        <is>
          <t>100% Automated Executive Summary | Real-Time Pipeline Rollup, Conversion Rates &amp; Date-by-Date Operations Pulse</t>
        </is>
      </c>
    </row>
    <row r="3"/>
    <row r="4" ht="18" customHeight="1">
      <c r="B4" s="3" t="inlineStr">
        <is>
          <t>TOTAL PIPELINE VALUE</t>
        </is>
      </c>
      <c r="C4" s="4" t="n"/>
      <c r="D4" s="3" t="inlineStr">
        <is>
          <t>CLOSED WON REVENUE</t>
        </is>
      </c>
      <c r="E4" s="4" t="n"/>
      <c r="F4" s="3" t="inlineStr">
        <is>
          <t>TOTAL LEADS</t>
        </is>
      </c>
      <c r="G4" s="3" t="inlineStr">
        <is>
          <t>WIN CONVERSION RATE</t>
        </is>
      </c>
      <c r="H4" s="3" t="inlineStr">
        <is>
          <t>SAMPLES DISPATCHED</t>
        </is>
      </c>
      <c r="I4" s="3" t="inlineStr">
        <is>
          <t>ACTIVE PIPELINE DEALS</t>
        </is>
      </c>
      <c r="J4" s="4" t="n"/>
    </row>
    <row r="5" ht="26" customHeight="1">
      <c r="B5" s="5">
        <f>'Leads CRM Tracker'!Q31</f>
        <v/>
      </c>
      <c r="C5" s="4" t="n"/>
      <c r="D5" s="5">
        <f>SUMIF('Leads CRM Tracker'!O7:O30, "Closed Won", 'Leads CRM Tracker'!Q7:Q30)</f>
        <v/>
      </c>
      <c r="E5" s="4" t="n"/>
      <c r="F5" s="6">
        <f>COUNTA('Leads CRM Tracker'!E7:E30)</f>
        <v/>
      </c>
      <c r="G5" s="7">
        <f>COUNTIF('Leads CRM Tracker'!O7:O30, "Closed Won")/COUNTA('Leads CRM Tracker'!E7:E30)</f>
        <v/>
      </c>
      <c r="H5" s="6">
        <f>COUNTIF('Leads CRM Tracker'!O7:O30, "Sample Dispatched")</f>
        <v/>
      </c>
      <c r="I5" s="6">
        <f>COUNTIF('Leads CRM Tracker'!O7:O30, "Commercial Quote Sent") + COUNTIF('Leads CRM Tracker'!O7:O30, "Contacted / In Touch") + COUNTIF('Leads CRM Tracker'!O7:O30, "New Inquiry")</f>
        <v/>
      </c>
      <c r="J5" s="4" t="n"/>
    </row>
    <row r="6" ht="16" customHeight="1">
      <c r="B6" s="8" t="inlineStr">
        <is>
          <t>Across All Active Stages</t>
        </is>
      </c>
      <c r="C6" s="4" t="n"/>
      <c r="D6" s="8" t="inlineStr">
        <is>
          <t>Contracted &amp; Booked Revenue</t>
        </is>
      </c>
      <c r="E6" s="4" t="n"/>
      <c r="F6" s="8" t="inlineStr">
        <is>
          <t>Website, WhatsApp &amp; RFQ</t>
        </is>
      </c>
      <c r="G6" s="8" t="inlineStr">
        <is>
          <t>Won / Total Inquiries</t>
        </is>
      </c>
      <c r="H6" s="8" t="inlineStr">
        <is>
          <t>Chef Discovery Packs (1kg)</t>
        </is>
      </c>
      <c r="I6" s="8" t="inlineStr">
        <is>
          <t>Quotes &amp; In Progress</t>
        </is>
      </c>
      <c r="J6" s="4" t="n"/>
    </row>
    <row r="7"/>
    <row r="8" ht="24" customHeight="1">
      <c r="A8" s="9" t="inlineStr">
        <is>
          <t>DATE-BY-DATE OPERATIONS &amp; DAILY SALES SUMMARY</t>
        </is>
      </c>
    </row>
    <row r="9" ht="24" customHeight="1">
      <c r="A9" s="10" t="inlineStr">
        <is>
          <t>Date</t>
        </is>
      </c>
      <c r="B9" s="10" t="inlineStr">
        <is>
          <t>Day</t>
        </is>
      </c>
      <c r="C9" s="10" t="inlineStr">
        <is>
          <t>Inquiries In</t>
        </is>
      </c>
      <c r="D9" s="10" t="inlineStr">
        <is>
          <t>Samples Sent</t>
        </is>
      </c>
      <c r="E9" s="10" t="inlineStr">
        <is>
          <t>Quotes Sent</t>
        </is>
      </c>
      <c r="F9" s="10" t="inlineStr">
        <is>
          <t>Deals Won</t>
        </is>
      </c>
      <c r="G9" s="11" t="inlineStr">
        <is>
          <t>Revenue Won (₹)</t>
        </is>
      </c>
      <c r="H9" s="11" t="inlineStr">
        <is>
          <t>Pipeline Added (₹)</t>
        </is>
      </c>
      <c r="I9" s="12" t="inlineStr">
        <is>
          <t>Top Inquired Spice</t>
        </is>
      </c>
      <c r="J9" s="12" t="inlineStr">
        <is>
          <t>Daily Operations Summary &amp; Key Highlights</t>
        </is>
      </c>
    </row>
    <row r="10" ht="20" customHeight="1">
      <c r="A10" s="13" t="inlineStr">
        <is>
          <t>2026-08-28</t>
        </is>
      </c>
      <c r="B10" s="13" t="inlineStr">
        <is>
          <t>Friday</t>
        </is>
      </c>
      <c r="C10" s="14" t="n">
        <v>3</v>
      </c>
      <c r="D10" s="14" t="n">
        <v>2</v>
      </c>
      <c r="E10" s="14" t="n">
        <v>2</v>
      </c>
      <c r="F10" s="14" t="n">
        <v>1</v>
      </c>
      <c r="G10" s="15" t="n">
        <v>340000</v>
      </c>
      <c r="H10" s="15" t="n">
        <v>780000</v>
      </c>
      <c r="I10" s="16" t="inlineStr">
        <is>
          <t>Tellicherry TGSEB Pepper</t>
        </is>
      </c>
      <c r="J10" s="16" t="inlineStr">
        <is>
          <t>ITC Grand Chola onboarded for 500kg monthly pepper replenishment.</t>
        </is>
      </c>
    </row>
    <row r="11" ht="20" customHeight="1">
      <c r="A11" s="17" t="inlineStr">
        <is>
          <t>2026-08-29</t>
        </is>
      </c>
      <c r="B11" s="17" t="inlineStr">
        <is>
          <t>Saturday</t>
        </is>
      </c>
      <c r="C11" s="18" t="n">
        <v>2</v>
      </c>
      <c r="D11" s="18" t="n">
        <v>1</v>
      </c>
      <c r="E11" s="18" t="n">
        <v>1</v>
      </c>
      <c r="F11" s="18" t="n">
        <v>0</v>
      </c>
      <c r="G11" s="19" t="n">
        <v>0</v>
      </c>
      <c r="H11" s="19" t="n">
        <v>420000</v>
      </c>
      <c r="I11" s="20" t="inlineStr">
        <is>
          <t>Alleppey 8mm Cardamom</t>
        </is>
      </c>
      <c r="J11" s="20" t="inlineStr">
        <is>
          <t>Sent 1kg discovery sample to Trident Hyderabad; quote submitted for 200kg.</t>
        </is>
      </c>
    </row>
    <row r="12" ht="20" customHeight="1">
      <c r="A12" s="13" t="inlineStr">
        <is>
          <t>2026-08-30</t>
        </is>
      </c>
      <c r="B12" s="13" t="inlineStr">
        <is>
          <t>Sunday</t>
        </is>
      </c>
      <c r="C12" s="14" t="n">
        <v>1</v>
      </c>
      <c r="D12" s="14" t="n">
        <v>0</v>
      </c>
      <c r="E12" s="14" t="n">
        <v>1</v>
      </c>
      <c r="F12" s="14" t="n">
        <v>0</v>
      </c>
      <c r="G12" s="15" t="n">
        <v>0</v>
      </c>
      <c r="H12" s="15" t="n">
        <v>150000</v>
      </c>
      <c r="I12" s="16" t="inlineStr">
        <is>
          <t>Salem Golden Turmeric</t>
        </is>
      </c>
      <c r="J12" s="16" t="inlineStr">
        <is>
          <t>Weekend trade desk inquiries handled via WhatsApp desk. RFQs logged.</t>
        </is>
      </c>
    </row>
    <row r="13" ht="20" customHeight="1">
      <c r="A13" s="17" t="inlineStr">
        <is>
          <t>2026-08-31</t>
        </is>
      </c>
      <c r="B13" s="17" t="inlineStr">
        <is>
          <t>Monday</t>
        </is>
      </c>
      <c r="C13" s="18" t="n">
        <v>4</v>
      </c>
      <c r="D13" s="18" t="n">
        <v>3</v>
      </c>
      <c r="E13" s="18" t="n">
        <v>3</v>
      </c>
      <c r="F13" s="18" t="n">
        <v>1</v>
      </c>
      <c r="G13" s="19" t="n">
        <v>620000</v>
      </c>
      <c r="H13" s="19" t="n">
        <v>1450000</v>
      </c>
      <c r="I13" s="20" t="inlineStr">
        <is>
          <t>Tellicherry Black Pepper</t>
        </is>
      </c>
      <c r="J13" s="20" t="inlineStr">
        <is>
          <t>Taj Coromandel Closed Won (1 MT Black Pepper Lot). 3 chef sample boxes shipped.</t>
        </is>
      </c>
    </row>
    <row r="14" ht="20" customHeight="1">
      <c r="A14" s="13" t="inlineStr">
        <is>
          <t>2026-09-01</t>
        </is>
      </c>
      <c r="B14" s="13" t="inlineStr">
        <is>
          <t>Tuesday</t>
        </is>
      </c>
      <c r="C14" s="14" t="n">
        <v>3</v>
      </c>
      <c r="D14" s="14" t="n">
        <v>2</v>
      </c>
      <c r="E14" s="14" t="n">
        <v>2</v>
      </c>
      <c r="F14" s="14" t="n">
        <v>0</v>
      </c>
      <c r="G14" s="15" t="n">
        <v>0</v>
      </c>
      <c r="H14" s="15" t="n">
        <v>580000</v>
      </c>
      <c r="I14" s="16" t="inlineStr">
        <is>
          <t>Royal Biryani Masala</t>
        </is>
      </c>
      <c r="J14" s="16" t="inlineStr">
        <is>
          <t>Hyderabad biryani restaurant chain inquired 250kg chef packs. Discovery box out.</t>
        </is>
      </c>
    </row>
    <row r="15" ht="20" customHeight="1">
      <c r="A15" s="17" t="inlineStr">
        <is>
          <t>2026-09-02</t>
        </is>
      </c>
      <c r="B15" s="17" t="inlineStr">
        <is>
          <t>Wednesday</t>
        </is>
      </c>
      <c r="C15" s="18" t="n">
        <v>4</v>
      </c>
      <c r="D15" s="18" t="n">
        <v>1</v>
      </c>
      <c r="E15" s="18" t="n">
        <v>4</v>
      </c>
      <c r="F15" s="18" t="n">
        <v>2</v>
      </c>
      <c r="G15" s="19" t="n">
        <v>890000</v>
      </c>
      <c r="H15" s="19" t="n">
        <v>1850000</v>
      </c>
      <c r="I15" s="20" t="inlineStr">
        <is>
          <t>Cochin Dry Ginger &amp; Pepper</t>
        </is>
      </c>
      <c r="J15" s="20" t="inlineStr">
        <is>
          <t>The Leela Palace Bangalore signed Hotel Smart 24/7 contract (₹5.4L).</t>
        </is>
      </c>
    </row>
    <row r="16" ht="20" customHeight="1">
      <c r="A16" s="13" t="inlineStr">
        <is>
          <t>2026-09-03</t>
        </is>
      </c>
      <c r="B16" s="13" t="inlineStr">
        <is>
          <t>Thursday</t>
        </is>
      </c>
      <c r="C16" s="14" t="n">
        <v>3</v>
      </c>
      <c r="D16" s="14" t="n">
        <v>2</v>
      </c>
      <c r="E16" s="14" t="n">
        <v>2</v>
      </c>
      <c r="F16" s="14" t="n">
        <v>1</v>
      </c>
      <c r="G16" s="15" t="n">
        <v>460000</v>
      </c>
      <c r="H16" s="15" t="n">
        <v>920000</v>
      </c>
      <c r="I16" s="16" t="inlineStr">
        <is>
          <t>Zanzibar Cloves &amp; Ceylon Cinnamon</t>
        </is>
      </c>
      <c r="J16" s="16" t="inlineStr">
        <is>
          <t>Adyar Ananda Bhavan wholesale inquiry won for sweet aromatics batch.</t>
        </is>
      </c>
    </row>
    <row r="17" ht="20" customHeight="1">
      <c r="A17" s="17" t="inlineStr">
        <is>
          <t>2026-09-04</t>
        </is>
      </c>
      <c r="B17" s="17" t="inlineStr">
        <is>
          <t>Friday</t>
        </is>
      </c>
      <c r="C17" s="18" t="n">
        <v>5</v>
      </c>
      <c r="D17" s="18" t="n">
        <v>4</v>
      </c>
      <c r="E17" s="18" t="n">
        <v>3</v>
      </c>
      <c r="F17" s="18" t="n">
        <v>1</v>
      </c>
      <c r="G17" s="19" t="n">
        <v>580000</v>
      </c>
      <c r="H17" s="19" t="n">
        <v>2100000</v>
      </c>
      <c r="I17" s="20" t="inlineStr">
        <is>
          <t>Green Ginger (Fresh) &amp; Cardamom</t>
        </is>
      </c>
      <c r="J17" s="20" t="inlineStr">
        <is>
          <t>Kochi wholesale exporter placed 2 MT fresh ginger master bag contract.</t>
        </is>
      </c>
    </row>
    <row r="18" ht="20" customHeight="1">
      <c r="A18" s="13" t="inlineStr">
        <is>
          <t>2026-09-05</t>
        </is>
      </c>
      <c r="B18" s="13" t="inlineStr">
        <is>
          <t>Saturday</t>
        </is>
      </c>
      <c r="C18" s="14" t="n">
        <v>3</v>
      </c>
      <c r="D18" s="14" t="n">
        <v>1</v>
      </c>
      <c r="E18" s="14" t="n">
        <v>2</v>
      </c>
      <c r="F18" s="14" t="n">
        <v>0</v>
      </c>
      <c r="G18" s="15" t="n">
        <v>0</v>
      </c>
      <c r="H18" s="15" t="n">
        <v>640000</v>
      </c>
      <c r="I18" s="16" t="inlineStr">
        <is>
          <t>Tellicherry TGSEB Pepper</t>
        </is>
      </c>
      <c r="J18" s="16" t="inlineStr">
        <is>
          <t>Coimbatore catering group requested tasting samples for 15 upcoming banquets.</t>
        </is>
      </c>
    </row>
    <row r="19" ht="20" customHeight="1">
      <c r="A19" s="17" t="inlineStr">
        <is>
          <t>2026-09-06</t>
        </is>
      </c>
      <c r="B19" s="17" t="inlineStr">
        <is>
          <t>Sunday</t>
        </is>
      </c>
      <c r="C19" s="18" t="n">
        <v>4</v>
      </c>
      <c r="D19" s="18" t="n">
        <v>2</v>
      </c>
      <c r="E19" s="18" t="n">
        <v>3</v>
      </c>
      <c r="F19" s="18" t="n">
        <v>1</v>
      </c>
      <c r="G19" s="19" t="n">
        <v>750000</v>
      </c>
      <c r="H19" s="19" t="n">
        <v>1680000</v>
      </c>
      <c r="I19" s="20" t="inlineStr">
        <is>
          <t>Alleppey 8mm Cardamom &amp; Jeera</t>
        </is>
      </c>
      <c r="J19" s="20" t="inlineStr">
        <is>
          <t>Novotel Chennai OMR signed 2-hour emergency par replenishment SLA.</t>
        </is>
      </c>
    </row>
    <row r="20" ht="22" customHeight="1">
      <c r="A20" s="21" t="inlineStr">
        <is>
          <t>TOTALS</t>
        </is>
      </c>
      <c r="B20" s="22" t="inlineStr">
        <is>
          <t>10-Day Summary</t>
        </is>
      </c>
      <c r="C20" s="23">
        <f>SUM(C10:C19)</f>
        <v/>
      </c>
      <c r="D20" s="23">
        <f>SUM(D10:D19)</f>
        <v/>
      </c>
      <c r="E20" s="23">
        <f>SUM(E10:E19)</f>
        <v/>
      </c>
      <c r="F20" s="23">
        <f>SUM(F10:F19)</f>
        <v/>
      </c>
      <c r="G20" s="24">
        <f>SUM(G10:G19)</f>
        <v/>
      </c>
      <c r="H20" s="24">
        <f>SUM(H10:H19)</f>
        <v/>
      </c>
      <c r="I20" s="25" t="inlineStr">
        <is>
          <t>-</t>
        </is>
      </c>
      <c r="J20" s="26" t="inlineStr">
        <is>
          <t>Daily metrics updated automatically via live CRM webhook</t>
        </is>
      </c>
    </row>
  </sheetData>
  <mergeCells count="11">
    <mergeCell ref="D6:E6"/>
    <mergeCell ref="B6:C6"/>
    <mergeCell ref="A1:J1"/>
    <mergeCell ref="I4:J4"/>
    <mergeCell ref="I6:J6"/>
    <mergeCell ref="B5:C5"/>
    <mergeCell ref="D5:E5"/>
    <mergeCell ref="I5:J5"/>
    <mergeCell ref="D4:E4"/>
    <mergeCell ref="A2:J2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8" customWidth="1" min="4" max="4"/>
    <col width="24" customWidth="1" min="5" max="5"/>
    <col width="26" customWidth="1" min="6" max="6"/>
    <col width="22" customWidth="1" min="7" max="7"/>
    <col width="18" customWidth="1" min="8" max="8"/>
    <col width="28" customWidth="1" min="9" max="9"/>
    <col width="16" customWidth="1" min="10" max="10"/>
    <col width="34" customWidth="1" min="11" max="11"/>
    <col width="22" customWidth="1" min="12" max="12"/>
    <col width="26" customWidth="1" min="13" max="13"/>
    <col width="18" customWidth="1" min="14" max="14"/>
    <col width="24" customWidth="1" min="15" max="15"/>
    <col width="18" customWidth="1" min="16" max="16"/>
    <col width="20" customWidth="1" min="17" max="17"/>
    <col width="22" customWidth="1" min="18" max="18"/>
    <col width="26" customWidth="1" min="19" max="19"/>
    <col width="16" customWidth="1" min="20" max="20"/>
    <col width="48" customWidth="1" min="21" max="21"/>
  </cols>
  <sheetData>
    <row r="1" ht="34" customHeight="1">
      <c r="A1" s="1" t="inlineStr">
        <is>
          <t>KTA SPICES - INBOUND LEADS &amp; SALES PIPELINE CRM TRACKER</t>
        </is>
      </c>
    </row>
    <row r="2" ht="20" customHeight="1">
      <c r="A2" s="2" t="inlineStr">
        <is>
          <t>Two-Tier Operational Structure: Section A (System Auto-Populated) | Section B (Sales Team Action &amp; Pipeline Management)</t>
        </is>
      </c>
    </row>
    <row r="3"/>
    <row r="4" ht="24" customHeight="1">
      <c r="A4" s="27" t="inlineStr">
        <is>
          <t>SECTION A: INBOUND INQUIRY DATA (AUTOMATICALLY POPULATED BY SYSTEM / WEBHOOK)</t>
        </is>
      </c>
      <c r="M4" s="28" t="inlineStr">
        <is>
          <t>SECTION B: SALES EXECUTION &amp; PIPELINE WORKFLOW (EMPLOYEE ACTION REQUIRED)</t>
        </is>
      </c>
    </row>
    <row r="5" ht="18" customHeight="1">
      <c r="A5" s="29" t="inlineStr">
        <is>
          <t>Columns A-L: Auto-logged via Website RFQ, AI Chatbot, WhatsApp Desk, Chef Box &amp; Forms. (Read-Only / Reference)</t>
        </is>
      </c>
      <c r="M5" s="30" t="inlineStr">
        <is>
          <t>Columns M-U: To be updated daily by Sales Reps (Assign Rep, Set Priority, Update Stage Dropdown, Enter Quoted Rate &amp; Notes)</t>
        </is>
      </c>
    </row>
    <row r="6" ht="24" customHeight="1">
      <c r="A6" s="31" t="inlineStr">
        <is>
          <t>Lead ID</t>
        </is>
      </c>
      <c r="B6" s="31" t="inlineStr">
        <is>
          <t>Date Logged</t>
        </is>
      </c>
      <c r="C6" s="31" t="inlineStr">
        <is>
          <t>Time</t>
        </is>
      </c>
      <c r="D6" s="31" t="inlineStr">
        <is>
          <t>Channel / Source</t>
        </is>
      </c>
      <c r="E6" s="32" t="inlineStr">
        <is>
          <t>Client / Buyer Name</t>
        </is>
      </c>
      <c r="F6" s="32" t="inlineStr">
        <is>
          <t>Property / Hotel / Company</t>
        </is>
      </c>
      <c r="G6" s="32" t="inlineStr">
        <is>
          <t>Designation / Role</t>
        </is>
      </c>
      <c r="H6" s="32" t="inlineStr">
        <is>
          <t>Phone Number</t>
        </is>
      </c>
      <c r="I6" s="32" t="inlineStr">
        <is>
          <t>Email Address</t>
        </is>
      </c>
      <c r="J6" s="32" t="inlineStr">
        <is>
          <t>City &amp; State</t>
        </is>
      </c>
      <c r="K6" s="32" t="inlineStr">
        <is>
          <t>Inquired Product / SKU</t>
        </is>
      </c>
      <c r="L6" s="33" t="inlineStr">
        <is>
          <t>Volume Requested</t>
        </is>
      </c>
      <c r="M6" s="34" t="inlineStr">
        <is>
          <t>Assigned Sales Rep</t>
        </is>
      </c>
      <c r="N6" s="34" t="inlineStr">
        <is>
          <t>Priority Tier</t>
        </is>
      </c>
      <c r="O6" s="34" t="inlineStr">
        <is>
          <t>Deal Stage / Status</t>
        </is>
      </c>
      <c r="P6" s="35" t="inlineStr">
        <is>
          <t>Quoted Rate (₹/kg)</t>
        </is>
      </c>
      <c r="Q6" s="35" t="inlineStr">
        <is>
          <t>Final Deal Value (₹)</t>
        </is>
      </c>
      <c r="R6" s="34" t="inlineStr">
        <is>
          <t>Payment Terms</t>
        </is>
      </c>
      <c r="S6" s="34" t="inlineStr">
        <is>
          <t>Sample AWB / Dispatch</t>
        </is>
      </c>
      <c r="T6" s="34" t="inlineStr">
        <is>
          <t>Next Follow-Up</t>
        </is>
      </c>
      <c r="U6" s="36" t="inlineStr">
        <is>
          <t>Sales Notes &amp; Call Remarks</t>
        </is>
      </c>
    </row>
    <row r="7" ht="20" customHeight="1">
      <c r="A7" s="37" t="inlineStr">
        <is>
          <t>KTA-2026-081</t>
        </is>
      </c>
      <c r="B7" s="37" t="inlineStr">
        <is>
          <t>2026-09-06</t>
        </is>
      </c>
      <c r="C7" s="37" t="inlineStr">
        <is>
          <t>10:15</t>
        </is>
      </c>
      <c r="D7" s="37" t="inlineStr">
        <is>
          <t>Chef Sample Box</t>
        </is>
      </c>
      <c r="E7" s="38" t="inlineStr">
        <is>
          <t>Chef Rajesh Kumar</t>
        </is>
      </c>
      <c r="F7" s="38" t="inlineStr">
        <is>
          <t>ITC Grand Chola</t>
        </is>
      </c>
      <c r="G7" s="38" t="inlineStr">
        <is>
          <t>Executive Chef</t>
        </is>
      </c>
      <c r="H7" s="38" t="inlineStr">
        <is>
          <t>+91 98401 23456</t>
        </is>
      </c>
      <c r="I7" s="38" t="inlineStr">
        <is>
          <t>rajesh.k@itchotels.com</t>
        </is>
      </c>
      <c r="J7" s="38" t="inlineStr">
        <is>
          <t>Chennai, TN</t>
        </is>
      </c>
      <c r="K7" s="38" t="inlineStr">
        <is>
          <t>Tellicherry TGSEB Pepper (Whole)</t>
        </is>
      </c>
      <c r="L7" s="39" t="inlineStr">
        <is>
          <t>500 kg (40kg Bags)</t>
        </is>
      </c>
      <c r="M7" s="40" t="inlineStr">
        <is>
          <t>Anand R. (Trade Desk)</t>
        </is>
      </c>
      <c r="N7" s="40" t="inlineStr">
        <is>
          <t>High Priority</t>
        </is>
      </c>
      <c r="O7" s="40" t="inlineStr">
        <is>
          <t>Closed Won</t>
        </is>
      </c>
      <c r="P7" s="41" t="n">
        <v>680</v>
      </c>
      <c r="Q7" s="41" t="n">
        <v>340000</v>
      </c>
      <c r="R7" s="40" t="inlineStr">
        <is>
          <t>15-Day Credit</t>
        </is>
      </c>
      <c r="S7" s="42" t="inlineStr">
        <is>
          <t>AWB-BLR-88219 (Delivered)</t>
        </is>
      </c>
      <c r="T7" s="40" t="inlineStr">
        <is>
          <t>2026-09-10</t>
        </is>
      </c>
      <c r="U7" s="42" t="inlineStr">
        <is>
          <t>1kg discovery kit evaluated. 500kg PO issued for central kitchens.</t>
        </is>
      </c>
    </row>
    <row r="8" ht="20" customHeight="1">
      <c r="A8" s="13" t="inlineStr">
        <is>
          <t>KTA-2026-082</t>
        </is>
      </c>
      <c r="B8" s="13" t="inlineStr">
        <is>
          <t>2026-09-06</t>
        </is>
      </c>
      <c r="C8" s="13" t="inlineStr">
        <is>
          <t>11:30</t>
        </is>
      </c>
      <c r="D8" s="13" t="inlineStr">
        <is>
          <t>Wholesale Form</t>
        </is>
      </c>
      <c r="E8" s="16" t="inlineStr">
        <is>
          <t>Vikram Singhal</t>
        </is>
      </c>
      <c r="F8" s="16" t="inlineStr">
        <is>
          <t>Singhal Spice Traders</t>
        </is>
      </c>
      <c r="G8" s="16" t="inlineStr">
        <is>
          <t>Purchase Director</t>
        </is>
      </c>
      <c r="H8" s="16" t="inlineStr">
        <is>
          <t>+91 94441 56789</t>
        </is>
      </c>
      <c r="I8" s="16" t="inlineStr">
        <is>
          <t>vikram@singhalspices.com</t>
        </is>
      </c>
      <c r="J8" s="16" t="inlineStr">
        <is>
          <t>Madurai, TN</t>
        </is>
      </c>
      <c r="K8" s="16" t="inlineStr">
        <is>
          <t>Green Ginger (Fresh Jumbo)</t>
        </is>
      </c>
      <c r="L8" s="43" t="inlineStr">
        <is>
          <t>2 MT Commercial Lot</t>
        </is>
      </c>
      <c r="M8" s="13" t="inlineStr">
        <is>
          <t>Suresh M. (Wholesale)</t>
        </is>
      </c>
      <c r="N8" s="13" t="inlineStr">
        <is>
          <t>High Priority</t>
        </is>
      </c>
      <c r="O8" s="13" t="inlineStr">
        <is>
          <t>Commercial Quote Sent</t>
        </is>
      </c>
      <c r="P8" s="15" t="n">
        <v>140</v>
      </c>
      <c r="Q8" s="15" t="n">
        <v>280000</v>
      </c>
      <c r="R8" s="13" t="inlineStr">
        <is>
          <t>Advance Bank Transfer</t>
        </is>
      </c>
      <c r="S8" s="16" t="inlineStr">
        <is>
          <t>Not Applicable</t>
        </is>
      </c>
      <c r="T8" s="13" t="inlineStr">
        <is>
          <t>2026-09-08</t>
        </is>
      </c>
      <c r="U8" s="16" t="inlineStr">
        <is>
          <t>Quoted ₹140/kg ex-warehouse. Waiting for transport clearance.</t>
        </is>
      </c>
    </row>
    <row r="9" ht="20" customHeight="1">
      <c r="A9" s="37" t="inlineStr">
        <is>
          <t>KTA-2026-083</t>
        </is>
      </c>
      <c r="B9" s="37" t="inlineStr">
        <is>
          <t>2026-09-06</t>
        </is>
      </c>
      <c r="C9" s="37" t="inlineStr">
        <is>
          <t>13:45</t>
        </is>
      </c>
      <c r="D9" s="37" t="inlineStr">
        <is>
          <t>AI Chatbot</t>
        </is>
      </c>
      <c r="E9" s="38" t="inlineStr">
        <is>
          <t>Chef Antonio D'Souza</t>
        </is>
      </c>
      <c r="F9" s="38" t="inlineStr">
        <is>
          <t>Taj Coromandel</t>
        </is>
      </c>
      <c r="G9" s="38" t="inlineStr">
        <is>
          <t>Executive Sous Chef</t>
        </is>
      </c>
      <c r="H9" s="38" t="inlineStr">
        <is>
          <t>+91 98840 12890</t>
        </is>
      </c>
      <c r="I9" s="38" t="inlineStr">
        <is>
          <t>antonio.dsouza@tajhotels.com</t>
        </is>
      </c>
      <c r="J9" s="38" t="inlineStr">
        <is>
          <t>Chennai, TN</t>
        </is>
      </c>
      <c r="K9" s="38" t="inlineStr">
        <is>
          <t>Alleppey 8mm+ Green Cardamom</t>
        </is>
      </c>
      <c r="L9" s="39" t="inlineStr">
        <is>
          <t>100 kg Master Bags</t>
        </is>
      </c>
      <c r="M9" s="40" t="inlineStr">
        <is>
          <t>Kavitha S. (Hospitality)</t>
        </is>
      </c>
      <c r="N9" s="40" t="inlineStr">
        <is>
          <t>Medium Priority</t>
        </is>
      </c>
      <c r="O9" s="40" t="inlineStr">
        <is>
          <t>Sample Dispatched</t>
        </is>
      </c>
      <c r="P9" s="41" t="n">
        <v>2450</v>
      </c>
      <c r="Q9" s="41" t="n">
        <v>245000</v>
      </c>
      <c r="R9" s="40" t="inlineStr">
        <is>
          <t>30-Day Revolving</t>
        </is>
      </c>
      <c r="S9" s="42" t="inlineStr">
        <is>
          <t>AWB-CHE-99120 (In Transit)</t>
        </is>
      </c>
      <c r="T9" s="40" t="inlineStr">
        <is>
          <t>2026-09-09</t>
        </is>
      </c>
      <c r="U9" s="42" t="inlineStr">
        <is>
          <t>1kg vacuum-sealed discovery box dispatched via express courier.</t>
        </is>
      </c>
    </row>
    <row r="10" ht="20" customHeight="1">
      <c r="A10" s="13" t="inlineStr">
        <is>
          <t>KTA-2026-084</t>
        </is>
      </c>
      <c r="B10" s="13" t="inlineStr">
        <is>
          <t>2026-09-06</t>
        </is>
      </c>
      <c r="C10" s="13" t="inlineStr">
        <is>
          <t>15:20</t>
        </is>
      </c>
      <c r="D10" s="13" t="inlineStr">
        <is>
          <t>WhatsApp Desk</t>
        </is>
      </c>
      <c r="E10" s="16" t="inlineStr">
        <is>
          <t>Meera Krishnan</t>
        </is>
      </c>
      <c r="F10" s="16" t="inlineStr">
        <is>
          <t>Ananda Bhavan Group</t>
        </is>
      </c>
      <c r="G10" s="16" t="inlineStr">
        <is>
          <t>Procurement Lead</t>
        </is>
      </c>
      <c r="H10" s="16" t="inlineStr">
        <is>
          <t>+91 97909 34112</t>
        </is>
      </c>
      <c r="I10" s="16" t="inlineStr">
        <is>
          <t>meera.k@anandabhavan.in</t>
        </is>
      </c>
      <c r="J10" s="16" t="inlineStr">
        <is>
          <t>Bangalore, KA</t>
        </is>
      </c>
      <c r="K10" s="16" t="inlineStr">
        <is>
          <t>Salem Golden Turmeric Powder</t>
        </is>
      </c>
      <c r="L10" s="43" t="inlineStr">
        <is>
          <t>1 MT (25 x 40kg Bags)</t>
        </is>
      </c>
      <c r="M10" s="13" t="inlineStr">
        <is>
          <t>Praveen K. (Key Accounts)</t>
        </is>
      </c>
      <c r="N10" s="13" t="inlineStr">
        <is>
          <t>High Priority</t>
        </is>
      </c>
      <c r="O10" s="13" t="inlineStr">
        <is>
          <t>Closed Won</t>
        </is>
      </c>
      <c r="P10" s="15" t="n">
        <v>280</v>
      </c>
      <c r="Q10" s="15" t="n">
        <v>280000</v>
      </c>
      <c r="R10" s="13" t="inlineStr">
        <is>
          <t>15-Day Credit</t>
        </is>
      </c>
      <c r="S10" s="16" t="inlineStr">
        <is>
          <t>Not Applicable</t>
        </is>
      </c>
      <c r="T10" s="13" t="inlineStr">
        <is>
          <t>2026-09-12</t>
        </is>
      </c>
      <c r="U10" s="16" t="inlineStr">
        <is>
          <t>Contract locked for 1 MT. Guaranteed par replenishment active.</t>
        </is>
      </c>
    </row>
    <row r="11" ht="20" customHeight="1">
      <c r="A11" s="37" t="inlineStr">
        <is>
          <t>KTA-2026-085</t>
        </is>
      </c>
      <c r="B11" s="37" t="inlineStr">
        <is>
          <t>2026-09-06</t>
        </is>
      </c>
      <c r="C11" s="37" t="inlineStr">
        <is>
          <t>16:05</t>
        </is>
      </c>
      <c r="D11" s="37" t="inlineStr">
        <is>
          <t>Website RFQ</t>
        </is>
      </c>
      <c r="E11" s="38" t="inlineStr">
        <is>
          <t>Chef Sanjay Rawat</t>
        </is>
      </c>
      <c r="F11" s="38" t="inlineStr">
        <is>
          <t>The Leela Palace</t>
        </is>
      </c>
      <c r="G11" s="38" t="inlineStr">
        <is>
          <t>Executive Pastry Chef</t>
        </is>
      </c>
      <c r="H11" s="38" t="inlineStr">
        <is>
          <t>+91 99001 87654</t>
        </is>
      </c>
      <c r="I11" s="38" t="inlineStr">
        <is>
          <t>sanjay.rawat@theleela.com</t>
        </is>
      </c>
      <c r="J11" s="38" t="inlineStr">
        <is>
          <t>Bangalore, KA</t>
        </is>
      </c>
      <c r="K11" s="38" t="inlineStr">
        <is>
          <t>Cochin Dry Ginger &amp; White Pepper</t>
        </is>
      </c>
      <c r="L11" s="39" t="inlineStr">
        <is>
          <t>150 kg (Combined Lot)</t>
        </is>
      </c>
      <c r="M11" s="40" t="inlineStr">
        <is>
          <t>Kavitha S. (Hospitality)</t>
        </is>
      </c>
      <c r="N11" s="40" t="inlineStr">
        <is>
          <t>Medium Priority</t>
        </is>
      </c>
      <c r="O11" s="40" t="inlineStr">
        <is>
          <t>Commercial Quote Sent</t>
        </is>
      </c>
      <c r="P11" s="41" t="n">
        <v>830</v>
      </c>
      <c r="Q11" s="41" t="n">
        <v>125000</v>
      </c>
      <c r="R11" s="40" t="inlineStr">
        <is>
          <t>15-Day Credit</t>
        </is>
      </c>
      <c r="S11" s="42" t="inlineStr">
        <is>
          <t>Pending Approval</t>
        </is>
      </c>
      <c r="T11" s="40" t="inlineStr">
        <is>
          <t>2026-09-08</t>
        </is>
      </c>
      <c r="U11" s="42" t="inlineStr">
        <is>
          <t>Quote sent for festive bakery prep. Follow up on Monday.</t>
        </is>
      </c>
    </row>
    <row r="12" ht="20" customHeight="1">
      <c r="A12" s="13" t="inlineStr">
        <is>
          <t>KTA-2026-086</t>
        </is>
      </c>
      <c r="B12" s="13" t="inlineStr">
        <is>
          <t>2026-09-05</t>
        </is>
      </c>
      <c r="C12" s="13" t="inlineStr">
        <is>
          <t>09:30</t>
        </is>
      </c>
      <c r="D12" s="13" t="inlineStr">
        <is>
          <t>Inbound Call</t>
        </is>
      </c>
      <c r="E12" s="16" t="inlineStr">
        <is>
          <t>Siddharth Rao</t>
        </is>
      </c>
      <c r="F12" s="16" t="inlineStr">
        <is>
          <t>Hyatt Regency</t>
        </is>
      </c>
      <c r="G12" s="16" t="inlineStr">
        <is>
          <t>F&amp;B Director</t>
        </is>
      </c>
      <c r="H12" s="16" t="inlineStr">
        <is>
          <t>+91 98200 45678</t>
        </is>
      </c>
      <c r="I12" s="16" t="inlineStr">
        <is>
          <t>siddharth.rao@hyatt.com</t>
        </is>
      </c>
      <c r="J12" s="16" t="inlineStr">
        <is>
          <t>Hyderabad, TS</t>
        </is>
      </c>
      <c r="K12" s="16" t="inlineStr">
        <is>
          <t>Royal Biryani Masala &amp; Jeera</t>
        </is>
      </c>
      <c r="L12" s="43" t="inlineStr">
        <is>
          <t>300 kg Dum Chef Packs</t>
        </is>
      </c>
      <c r="M12" s="13" t="inlineStr">
        <is>
          <t>Anand R. (Trade Desk)</t>
        </is>
      </c>
      <c r="N12" s="13" t="inlineStr">
        <is>
          <t>Medium Priority</t>
        </is>
      </c>
      <c r="O12" s="13" t="inlineStr">
        <is>
          <t>Contacted / In Touch</t>
        </is>
      </c>
      <c r="P12" s="15" t="n">
        <v>700</v>
      </c>
      <c r="Q12" s="15" t="n">
        <v>210000</v>
      </c>
      <c r="R12" s="13" t="inlineStr">
        <is>
          <t>30-Day Revolving</t>
        </is>
      </c>
      <c r="S12" s="16" t="inlineStr">
        <is>
          <t>Pending Dispatch</t>
        </is>
      </c>
      <c r="T12" s="13" t="inlineStr">
        <is>
          <t>2026-09-07</t>
        </is>
      </c>
      <c r="U12" s="16" t="inlineStr">
        <is>
          <t>Discussing trial batch for banquet operations.</t>
        </is>
      </c>
    </row>
    <row r="13" ht="20" customHeight="1">
      <c r="A13" s="37" t="inlineStr">
        <is>
          <t>KTA-2026-087</t>
        </is>
      </c>
      <c r="B13" s="37" t="inlineStr">
        <is>
          <t>2026-09-05</t>
        </is>
      </c>
      <c r="C13" s="37" t="inlineStr">
        <is>
          <t>11:15</t>
        </is>
      </c>
      <c r="D13" s="37" t="inlineStr">
        <is>
          <t>Wholesale Form</t>
        </is>
      </c>
      <c r="E13" s="38" t="inlineStr">
        <is>
          <t>Karthik Varma</t>
        </is>
      </c>
      <c r="F13" s="38" t="inlineStr">
        <is>
          <t>Malabar Agro Exporters</t>
        </is>
      </c>
      <c r="G13" s="38" t="inlineStr">
        <is>
          <t>Managing Partner</t>
        </is>
      </c>
      <c r="H13" s="38" t="inlineStr">
        <is>
          <t>+91 98470 33211</t>
        </is>
      </c>
      <c r="I13" s="38" t="inlineStr">
        <is>
          <t>karthik@malabaragro.com</t>
        </is>
      </c>
      <c r="J13" s="38" t="inlineStr">
        <is>
          <t>Kochi, KL</t>
        </is>
      </c>
      <c r="K13" s="38" t="inlineStr">
        <is>
          <t>Lite Berries &amp; Pepper Pinheads</t>
        </is>
      </c>
      <c r="L13" s="39" t="inlineStr">
        <is>
          <t>5 MT Container Lot</t>
        </is>
      </c>
      <c r="M13" s="40" t="inlineStr">
        <is>
          <t>Suresh M. (Wholesale)</t>
        </is>
      </c>
      <c r="N13" s="40" t="inlineStr">
        <is>
          <t>High Priority</t>
        </is>
      </c>
      <c r="O13" s="40" t="inlineStr">
        <is>
          <t>Closed Won</t>
        </is>
      </c>
      <c r="P13" s="41" t="n">
        <v>330</v>
      </c>
      <c r="Q13" s="41" t="n">
        <v>1650000</v>
      </c>
      <c r="R13" s="40" t="inlineStr">
        <is>
          <t>Letter of Credit (LC)</t>
        </is>
      </c>
      <c r="S13" s="42" t="inlineStr">
        <is>
          <t>Not Applicable</t>
        </is>
      </c>
      <c r="T13" s="40" t="inlineStr">
        <is>
          <t>2026-09-15</t>
        </is>
      </c>
      <c r="U13" s="42" t="inlineStr">
        <is>
          <t>5 MT extraction grade contract closed. Pallet dispatch scheduled.</t>
        </is>
      </c>
    </row>
    <row r="14" ht="20" customHeight="1">
      <c r="A14" s="13" t="inlineStr">
        <is>
          <t>KTA-2026-088</t>
        </is>
      </c>
      <c r="B14" s="13" t="inlineStr">
        <is>
          <t>2026-09-05</t>
        </is>
      </c>
      <c r="C14" s="13" t="inlineStr">
        <is>
          <t>14:00</t>
        </is>
      </c>
      <c r="D14" s="13" t="inlineStr">
        <is>
          <t>Chef Sample Box</t>
        </is>
      </c>
      <c r="E14" s="16" t="inlineStr">
        <is>
          <t>Chef Priya Menon</t>
        </is>
      </c>
      <c r="F14" s="16" t="inlineStr">
        <is>
          <t>Crowne Plaza</t>
        </is>
      </c>
      <c r="G14" s="16" t="inlineStr">
        <is>
          <t>Head Chef</t>
        </is>
      </c>
      <c r="H14" s="16" t="inlineStr">
        <is>
          <t>+91 98411 99887</t>
        </is>
      </c>
      <c r="I14" s="16" t="inlineStr">
        <is>
          <t>priya.menon@ihg.com</t>
        </is>
      </c>
      <c r="J14" s="16" t="inlineStr">
        <is>
          <t>Chennai, TN</t>
        </is>
      </c>
      <c r="K14" s="16" t="inlineStr">
        <is>
          <t>Zanzibar Cloves &amp; Ceylon Cinnamon</t>
        </is>
      </c>
      <c r="L14" s="43" t="inlineStr">
        <is>
          <t>1kg Discovery Kit</t>
        </is>
      </c>
      <c r="M14" s="13" t="inlineStr">
        <is>
          <t>Kavitha S. (Hospitality)</t>
        </is>
      </c>
      <c r="N14" s="13" t="inlineStr">
        <is>
          <t>Standard Priority</t>
        </is>
      </c>
      <c r="O14" s="13" t="inlineStr">
        <is>
          <t>Sample Dispatched</t>
        </is>
      </c>
      <c r="P14" s="15" t="n">
        <v>0</v>
      </c>
      <c r="Q14" s="15" t="n">
        <v>0</v>
      </c>
      <c r="R14" s="13" t="inlineStr">
        <is>
          <t>Complimentary</t>
        </is>
      </c>
      <c r="S14" s="16" t="inlineStr">
        <is>
          <t>AWB-CHE-33104 (In Transit)</t>
        </is>
      </c>
      <c r="T14" s="13" t="inlineStr">
        <is>
          <t>2026-09-11</t>
        </is>
      </c>
      <c r="U14" s="16" t="inlineStr">
        <is>
          <t>Chef Welcome Box shipped to hotel receiving dock.</t>
        </is>
      </c>
    </row>
    <row r="15" ht="20" customHeight="1">
      <c r="A15" s="37" t="inlineStr">
        <is>
          <t>KTA-2026-089</t>
        </is>
      </c>
      <c r="B15" s="37" t="inlineStr">
        <is>
          <t>2026-09-04</t>
        </is>
      </c>
      <c r="C15" s="37" t="inlineStr">
        <is>
          <t>10:45</t>
        </is>
      </c>
      <c r="D15" s="37" t="inlineStr">
        <is>
          <t>Footer Subscribe</t>
        </is>
      </c>
      <c r="E15" s="38" t="inlineStr">
        <is>
          <t>Ramesh Chandran</t>
        </is>
      </c>
      <c r="F15" s="38" t="inlineStr">
        <is>
          <t>Madras Caterers Guild</t>
        </is>
      </c>
      <c r="G15" s="38" t="inlineStr">
        <is>
          <t>Secretary</t>
        </is>
      </c>
      <c r="H15" s="38" t="inlineStr">
        <is>
          <t>+91 94440 11223</t>
        </is>
      </c>
      <c r="I15" s="38" t="inlineStr">
        <is>
          <t>ramesh@madrascaterers.org</t>
        </is>
      </c>
      <c r="J15" s="38" t="inlineStr">
        <is>
          <t>Chennai, TN</t>
        </is>
      </c>
      <c r="K15" s="38" t="inlineStr">
        <is>
          <t>Royal Garam Masala &amp; Chilly</t>
        </is>
      </c>
      <c r="L15" s="39" t="inlineStr">
        <is>
          <t>500 kg Festival Order</t>
        </is>
      </c>
      <c r="M15" s="40" t="inlineStr">
        <is>
          <t>Anand R. (Trade Desk)</t>
        </is>
      </c>
      <c r="N15" s="40" t="inlineStr">
        <is>
          <t>High Priority</t>
        </is>
      </c>
      <c r="O15" s="40" t="inlineStr">
        <is>
          <t>Commercial Quote Sent</t>
        </is>
      </c>
      <c r="P15" s="41" t="n">
        <v>620</v>
      </c>
      <c r="Q15" s="41" t="n">
        <v>310000</v>
      </c>
      <c r="R15" s="40" t="inlineStr">
        <is>
          <t>Advance Bank Transfer</t>
        </is>
      </c>
      <c r="S15" s="42" t="inlineStr">
        <is>
          <t>Not Applicable</t>
        </is>
      </c>
      <c r="T15" s="40" t="inlineStr">
        <is>
          <t>2026-09-08</t>
        </is>
      </c>
      <c r="U15" s="42" t="inlineStr">
        <is>
          <t>Quoted volume tier for wedding season catering.</t>
        </is>
      </c>
    </row>
    <row r="16" ht="20" customHeight="1">
      <c r="A16" s="13" t="inlineStr">
        <is>
          <t>KTA-2026-090</t>
        </is>
      </c>
      <c r="B16" s="13" t="inlineStr">
        <is>
          <t>2026-09-04</t>
        </is>
      </c>
      <c r="C16" s="13" t="inlineStr">
        <is>
          <t>12:30</t>
        </is>
      </c>
      <c r="D16" s="13" t="inlineStr">
        <is>
          <t>AI Chatbot</t>
        </is>
      </c>
      <c r="E16" s="16" t="inlineStr">
        <is>
          <t>Chef Arvind Swaminathan</t>
        </is>
      </c>
      <c r="F16" s="16" t="inlineStr">
        <is>
          <t>Trident Hotel</t>
        </is>
      </c>
      <c r="G16" s="16" t="inlineStr">
        <is>
          <t>Executive Chef</t>
        </is>
      </c>
      <c r="H16" s="16" t="inlineStr">
        <is>
          <t>+91 98844 77665</t>
        </is>
      </c>
      <c r="I16" s="16" t="inlineStr">
        <is>
          <t>arvind.s@oberoihotels.com</t>
        </is>
      </c>
      <c r="J16" s="16" t="inlineStr">
        <is>
          <t>Hyderabad, TS</t>
        </is>
      </c>
      <c r="K16" s="16" t="inlineStr">
        <is>
          <t>Tellicherry TGSEB Pepper</t>
        </is>
      </c>
      <c r="L16" s="43" t="inlineStr">
        <is>
          <t>250 kg Master Bags</t>
        </is>
      </c>
      <c r="M16" s="13" t="inlineStr">
        <is>
          <t>Praveen K. (Key Accounts)</t>
        </is>
      </c>
      <c r="N16" s="13" t="inlineStr">
        <is>
          <t>High Priority</t>
        </is>
      </c>
      <c r="O16" s="13" t="inlineStr">
        <is>
          <t>Closed Won</t>
        </is>
      </c>
      <c r="P16" s="15" t="n">
        <v>680</v>
      </c>
      <c r="Q16" s="15" t="n">
        <v>170000</v>
      </c>
      <c r="R16" s="13" t="inlineStr">
        <is>
          <t>15-Day Credit</t>
        </is>
      </c>
      <c r="S16" s="16" t="inlineStr">
        <is>
          <t>AWB-HYD-55102 (Delivered)</t>
        </is>
      </c>
      <c r="T16" s="13" t="inlineStr">
        <is>
          <t>2026-09-09</t>
        </is>
      </c>
      <c r="U16" s="16" t="inlineStr">
        <is>
          <t>Hotel Smart emergency delivery SLA agreed. First dispatch cleared.</t>
        </is>
      </c>
    </row>
    <row r="17" ht="20" customHeight="1">
      <c r="A17" s="37" t="inlineStr">
        <is>
          <t>KTA-2026-091</t>
        </is>
      </c>
      <c r="B17" s="37" t="inlineStr">
        <is>
          <t>2026-09-04</t>
        </is>
      </c>
      <c r="C17" s="37" t="inlineStr">
        <is>
          <t>16:10</t>
        </is>
      </c>
      <c r="D17" s="37" t="inlineStr">
        <is>
          <t>Website RFQ</t>
        </is>
      </c>
      <c r="E17" s="38" t="inlineStr">
        <is>
          <t>Dinesh G.</t>
        </is>
      </c>
      <c r="F17" s="38" t="inlineStr">
        <is>
          <t>Goyal Supermarket Chain</t>
        </is>
      </c>
      <c r="G17" s="38" t="inlineStr">
        <is>
          <t>Category Buyer</t>
        </is>
      </c>
      <c r="H17" s="38" t="inlineStr">
        <is>
          <t>+91 98110 54321</t>
        </is>
      </c>
      <c r="I17" s="38" t="inlineStr">
        <is>
          <t>dinesh@goyalretail.in</t>
        </is>
      </c>
      <c r="J17" s="38" t="inlineStr">
        <is>
          <t>Coimbatore, TN</t>
        </is>
      </c>
      <c r="K17" s="38" t="inlineStr">
        <is>
          <t>W320 Cashews &amp; Special Kismiss</t>
        </is>
      </c>
      <c r="L17" s="39" t="inlineStr">
        <is>
          <t>400 kg Master Tins</t>
        </is>
      </c>
      <c r="M17" s="40" t="inlineStr">
        <is>
          <t>Suresh M. (Wholesale)</t>
        </is>
      </c>
      <c r="N17" s="40" t="inlineStr">
        <is>
          <t>Medium Priority</t>
        </is>
      </c>
      <c r="O17" s="40" t="inlineStr">
        <is>
          <t>Contacted / In Touch</t>
        </is>
      </c>
      <c r="P17" s="41" t="n">
        <v>800</v>
      </c>
      <c r="Q17" s="41" t="n">
        <v>320000</v>
      </c>
      <c r="R17" s="40" t="inlineStr">
        <is>
          <t>30-Day Revolving</t>
        </is>
      </c>
      <c r="S17" s="42" t="inlineStr">
        <is>
          <t>Pending Approval</t>
        </is>
      </c>
      <c r="T17" s="40" t="inlineStr">
        <is>
          <t>2026-09-07</t>
        </is>
      </c>
      <c r="U17" s="42" t="inlineStr">
        <is>
          <t>Requested bulk dry fruit rates. Waiting on specs confirmation.</t>
        </is>
      </c>
    </row>
    <row r="18" ht="20" customHeight="1">
      <c r="A18" s="13" t="inlineStr">
        <is>
          <t>KTA-2026-092</t>
        </is>
      </c>
      <c r="B18" s="13" t="inlineStr">
        <is>
          <t>2026-09-03</t>
        </is>
      </c>
      <c r="C18" s="13" t="inlineStr">
        <is>
          <t>09:00</t>
        </is>
      </c>
      <c r="D18" s="13" t="inlineStr">
        <is>
          <t>Chef Sample Box</t>
        </is>
      </c>
      <c r="E18" s="16" t="inlineStr">
        <is>
          <t>Chef Manoj Sharma</t>
        </is>
      </c>
      <c r="F18" s="16" t="inlineStr">
        <is>
          <t>Novotel OMR</t>
        </is>
      </c>
      <c r="G18" s="16" t="inlineStr">
        <is>
          <t>Executive Chef</t>
        </is>
      </c>
      <c r="H18" s="16" t="inlineStr">
        <is>
          <t>+91 97910 88776</t>
        </is>
      </c>
      <c r="I18" s="16" t="inlineStr">
        <is>
          <t>manoj.sharma@accor.com</t>
        </is>
      </c>
      <c r="J18" s="16" t="inlineStr">
        <is>
          <t>Chennai, TN</t>
        </is>
      </c>
      <c r="K18" s="16" t="inlineStr">
        <is>
          <t>Alleppey Cardamom &amp; Cloves</t>
        </is>
      </c>
      <c r="L18" s="43" t="inlineStr">
        <is>
          <t>1kg Discovery Kit</t>
        </is>
      </c>
      <c r="M18" s="13" t="inlineStr">
        <is>
          <t>Kavitha S. (Hospitality)</t>
        </is>
      </c>
      <c r="N18" s="13" t="inlineStr">
        <is>
          <t>Standard Priority</t>
        </is>
      </c>
      <c r="O18" s="13" t="inlineStr">
        <is>
          <t>Sample Dispatched</t>
        </is>
      </c>
      <c r="P18" s="15" t="n">
        <v>0</v>
      </c>
      <c r="Q18" s="15" t="n">
        <v>0</v>
      </c>
      <c r="R18" s="13" t="inlineStr">
        <is>
          <t>Complimentary</t>
        </is>
      </c>
      <c r="S18" s="16" t="inlineStr">
        <is>
          <t>AWB-CHE-77192 (Delivered)</t>
        </is>
      </c>
      <c r="T18" s="13" t="inlineStr">
        <is>
          <t>2026-09-10</t>
        </is>
      </c>
      <c r="U18" s="16" t="inlineStr">
        <is>
          <t>Kitchen sample box delivered to Executive Chef desk.</t>
        </is>
      </c>
    </row>
    <row r="19" ht="20" customHeight="1">
      <c r="A19" s="37" t="inlineStr">
        <is>
          <t>KTA-2026-093</t>
        </is>
      </c>
      <c r="B19" s="37" t="inlineStr">
        <is>
          <t>2026-09-03</t>
        </is>
      </c>
      <c r="C19" s="37" t="inlineStr">
        <is>
          <t>11:40</t>
        </is>
      </c>
      <c r="D19" s="37" t="inlineStr">
        <is>
          <t>Inbound Call</t>
        </is>
      </c>
      <c r="E19" s="38" t="inlineStr">
        <is>
          <t>Harish Patel</t>
        </is>
      </c>
      <c r="F19" s="38" t="inlineStr">
        <is>
          <t>Gujarat Spices Ltd</t>
        </is>
      </c>
      <c r="G19" s="38" t="inlineStr">
        <is>
          <t>Broker / Trader</t>
        </is>
      </c>
      <c r="H19" s="38" t="inlineStr">
        <is>
          <t>+91 98250 66778</t>
        </is>
      </c>
      <c r="I19" s="38" t="inlineStr">
        <is>
          <t>harish@gujaratspices.com</t>
        </is>
      </c>
      <c r="J19" s="38" t="inlineStr">
        <is>
          <t>Ahmedabad, GJ</t>
        </is>
      </c>
      <c r="K19" s="38" t="inlineStr">
        <is>
          <t>Black Pepper Husk &amp; Spent Ginger</t>
        </is>
      </c>
      <c r="L19" s="39" t="inlineStr">
        <is>
          <t>10 MT Industrial Consignment</t>
        </is>
      </c>
      <c r="M19" s="40" t="inlineStr">
        <is>
          <t>Suresh M. (Wholesale)</t>
        </is>
      </c>
      <c r="N19" s="40" t="inlineStr">
        <is>
          <t>Medium Priority</t>
        </is>
      </c>
      <c r="O19" s="40" t="inlineStr">
        <is>
          <t>Closed Lost</t>
        </is>
      </c>
      <c r="P19" s="41" t="n">
        <v>95</v>
      </c>
      <c r="Q19" s="41" t="n">
        <v>950000</v>
      </c>
      <c r="R19" s="40" t="inlineStr">
        <is>
          <t>Advance Bank Transfer</t>
        </is>
      </c>
      <c r="S19" s="42" t="inlineStr">
        <is>
          <t>Not Applicable</t>
        </is>
      </c>
      <c r="T19" s="40" t="inlineStr">
        <is>
          <t>-</t>
        </is>
      </c>
      <c r="U19" s="42" t="inlineStr">
        <is>
          <t>Price gap on husk lot; client chose local mandi trader.</t>
        </is>
      </c>
    </row>
    <row r="20" ht="20" customHeight="1">
      <c r="A20" s="13" t="inlineStr">
        <is>
          <t>KTA-2026-094</t>
        </is>
      </c>
      <c r="B20" s="13" t="inlineStr">
        <is>
          <t>2026-09-03</t>
        </is>
      </c>
      <c r="C20" s="13" t="inlineStr">
        <is>
          <t>14:20</t>
        </is>
      </c>
      <c r="D20" s="13" t="inlineStr">
        <is>
          <t>AI Chatbot</t>
        </is>
      </c>
      <c r="E20" s="16" t="inlineStr">
        <is>
          <t>Sunil Verma</t>
        </is>
      </c>
      <c r="F20" s="16" t="inlineStr">
        <is>
          <t>Southern Cloud Kitchens</t>
        </is>
      </c>
      <c r="G20" s="16" t="inlineStr">
        <is>
          <t>Operations Head</t>
        </is>
      </c>
      <c r="H20" s="16" t="inlineStr">
        <is>
          <t>+91 99400 33445</t>
        </is>
      </c>
      <c r="I20" s="16" t="inlineStr">
        <is>
          <t>sunil@southerncloud.co</t>
        </is>
      </c>
      <c r="J20" s="16" t="inlineStr">
        <is>
          <t>Bangalore, KA</t>
        </is>
      </c>
      <c r="K20" s="16" t="inlineStr">
        <is>
          <t>Royal Biryani Masala &amp; Turmeric</t>
        </is>
      </c>
      <c r="L20" s="43" t="inlineStr">
        <is>
          <t>350 kg Monthly Contract</t>
        </is>
      </c>
      <c r="M20" s="13" t="inlineStr">
        <is>
          <t>Anand R. (Trade Desk)</t>
        </is>
      </c>
      <c r="N20" s="13" t="inlineStr">
        <is>
          <t>High Priority</t>
        </is>
      </c>
      <c r="O20" s="13" t="inlineStr">
        <is>
          <t>Closed Won</t>
        </is>
      </c>
      <c r="P20" s="15" t="n">
        <v>615</v>
      </c>
      <c r="Q20" s="15" t="n">
        <v>215000</v>
      </c>
      <c r="R20" s="13" t="inlineStr">
        <is>
          <t>15-Day Credit</t>
        </is>
      </c>
      <c r="S20" s="16" t="inlineStr">
        <is>
          <t>AWB-BLR-44109 (Delivered)</t>
        </is>
      </c>
      <c r="T20" s="13" t="inlineStr">
        <is>
          <t>2026-09-15</t>
        </is>
      </c>
      <c r="U20" s="16" t="inlineStr">
        <is>
          <t>Monthly subscription order locked for 12 cloud kitchen units.</t>
        </is>
      </c>
    </row>
    <row r="21" ht="20" customHeight="1">
      <c r="A21" s="37" t="inlineStr">
        <is>
          <t>KTA-2026-095</t>
        </is>
      </c>
      <c r="B21" s="37" t="inlineStr">
        <is>
          <t>2026-09-02</t>
        </is>
      </c>
      <c r="C21" s="37" t="inlineStr">
        <is>
          <t>10:10</t>
        </is>
      </c>
      <c r="D21" s="37" t="inlineStr">
        <is>
          <t>WhatsApp Desk</t>
        </is>
      </c>
      <c r="E21" s="38" t="inlineStr">
        <is>
          <t>Chef Farhan Qureshi</t>
        </is>
      </c>
      <c r="F21" s="38" t="inlineStr">
        <is>
          <t>Dum Pukht Specialists</t>
        </is>
      </c>
      <c r="G21" s="38" t="inlineStr">
        <is>
          <t>Master Chef</t>
        </is>
      </c>
      <c r="H21" s="38" t="inlineStr">
        <is>
          <t>+91 98211 44556</t>
        </is>
      </c>
      <c r="I21" s="38" t="inlineStr">
        <is>
          <t>farhan@dumpukht.in</t>
        </is>
      </c>
      <c r="J21" s="38" t="inlineStr">
        <is>
          <t>Chennai, TN</t>
        </is>
      </c>
      <c r="K21" s="38" t="inlineStr">
        <is>
          <t>Shahi Jeera, Mace &amp; Green Cardamom</t>
        </is>
      </c>
      <c r="L21" s="39" t="inlineStr">
        <is>
          <t>120 kg Premium Masala Lot</t>
        </is>
      </c>
      <c r="M21" s="40" t="inlineStr">
        <is>
          <t>Praveen K. (Key Accounts)</t>
        </is>
      </c>
      <c r="N21" s="40" t="inlineStr">
        <is>
          <t>High Priority</t>
        </is>
      </c>
      <c r="O21" s="40" t="inlineStr">
        <is>
          <t>Closed Won</t>
        </is>
      </c>
      <c r="P21" s="41" t="n">
        <v>1625</v>
      </c>
      <c r="Q21" s="41" t="n">
        <v>195000</v>
      </c>
      <c r="R21" s="40" t="inlineStr">
        <is>
          <t>15-Day Credit</t>
        </is>
      </c>
      <c r="S21" s="42" t="inlineStr">
        <is>
          <t>AWB-CHE-11204 (Delivered)</t>
        </is>
      </c>
      <c r="T21" s="40" t="inlineStr">
        <is>
          <t>2026-09-14</t>
        </is>
      </c>
      <c r="U21" s="42" t="inlineStr">
        <is>
          <t>Trial lot approved with top marks. Standing order active.</t>
        </is>
      </c>
    </row>
    <row r="22" ht="20" customHeight="1">
      <c r="A22" s="13" t="inlineStr">
        <is>
          <t>KTA-2026-096</t>
        </is>
      </c>
      <c r="B22" s="13" t="inlineStr">
        <is>
          <t>2026-09-02</t>
        </is>
      </c>
      <c r="C22" s="13" t="inlineStr">
        <is>
          <t>13:30</t>
        </is>
      </c>
      <c r="D22" s="13" t="inlineStr">
        <is>
          <t>Website RFQ</t>
        </is>
      </c>
      <c r="E22" s="16" t="inlineStr">
        <is>
          <t>Deepak Nambiar</t>
        </is>
      </c>
      <c r="F22" s="16" t="inlineStr">
        <is>
          <t>Kerala Ayurveda Oils</t>
        </is>
      </c>
      <c r="G22" s="16" t="inlineStr">
        <is>
          <t>Extraction Head</t>
        </is>
      </c>
      <c r="H22" s="16" t="inlineStr">
        <is>
          <t>+91 94471 22334</t>
        </is>
      </c>
      <c r="I22" s="16" t="inlineStr">
        <is>
          <t>deepak@ayurv.in</t>
        </is>
      </c>
      <c r="J22" s="16" t="inlineStr">
        <is>
          <t>Kozhikode, KL</t>
        </is>
      </c>
      <c r="K22" s="16" t="inlineStr">
        <is>
          <t>Cochin Dry Ginger &amp; Cloves</t>
        </is>
      </c>
      <c r="L22" s="43" t="inlineStr">
        <is>
          <t>1.5 MT Extraction Grade</t>
        </is>
      </c>
      <c r="M22" s="13" t="inlineStr">
        <is>
          <t>Suresh M. (Wholesale)</t>
        </is>
      </c>
      <c r="N22" s="13" t="inlineStr">
        <is>
          <t>High Priority</t>
        </is>
      </c>
      <c r="O22" s="13" t="inlineStr">
        <is>
          <t>Commercial Quote Sent</t>
        </is>
      </c>
      <c r="P22" s="15" t="n">
        <v>450</v>
      </c>
      <c r="Q22" s="15" t="n">
        <v>680000</v>
      </c>
      <c r="R22" s="13" t="inlineStr">
        <is>
          <t>Letter of Credit (LC)</t>
        </is>
      </c>
      <c r="S22" s="16" t="inlineStr">
        <is>
          <t>Pending Sample</t>
        </is>
      </c>
      <c r="T22" s="13" t="inlineStr">
        <is>
          <t>2026-09-08</t>
        </is>
      </c>
      <c r="U22" s="16" t="inlineStr">
        <is>
          <t>Technical COA submitted. Commercial approval pending.</t>
        </is>
      </c>
    </row>
    <row r="23" ht="20" customHeight="1">
      <c r="A23" s="37" t="inlineStr">
        <is>
          <t>KTA-2026-097</t>
        </is>
      </c>
      <c r="B23" s="37" t="inlineStr">
        <is>
          <t>2026-09-02</t>
        </is>
      </c>
      <c r="C23" s="37" t="inlineStr">
        <is>
          <t>15:50</t>
        </is>
      </c>
      <c r="D23" s="37" t="inlineStr">
        <is>
          <t>Chef Sample Box</t>
        </is>
      </c>
      <c r="E23" s="38" t="inlineStr">
        <is>
          <t>Chef Balaji Raman</t>
        </is>
      </c>
      <c r="F23" s="38" t="inlineStr">
        <is>
          <t>Residency Towers</t>
        </is>
      </c>
      <c r="G23" s="38" t="inlineStr">
        <is>
          <t>Executive Chef</t>
        </is>
      </c>
      <c r="H23" s="38" t="inlineStr">
        <is>
          <t>+91 98402 99112</t>
        </is>
      </c>
      <c r="I23" s="38" t="inlineStr">
        <is>
          <t>balaji.r@residencyhotels.com</t>
        </is>
      </c>
      <c r="J23" s="38" t="inlineStr">
        <is>
          <t>Coimbatore, TN</t>
        </is>
      </c>
      <c r="K23" s="38" t="inlineStr">
        <is>
          <t>Tellicherry Pepper &amp; Turmeric</t>
        </is>
      </c>
      <c r="L23" s="39" t="inlineStr">
        <is>
          <t>1kg Discovery Kit</t>
        </is>
      </c>
      <c r="M23" s="40" t="inlineStr">
        <is>
          <t>Kavitha S. (Hospitality)</t>
        </is>
      </c>
      <c r="N23" s="40" t="inlineStr">
        <is>
          <t>Standard Priority</t>
        </is>
      </c>
      <c r="O23" s="40" t="inlineStr">
        <is>
          <t>Sample Dispatched</t>
        </is>
      </c>
      <c r="P23" s="41" t="n">
        <v>0</v>
      </c>
      <c r="Q23" s="41" t="n">
        <v>0</v>
      </c>
      <c r="R23" s="40" t="inlineStr">
        <is>
          <t>Complimentary</t>
        </is>
      </c>
      <c r="S23" s="42" t="inlineStr">
        <is>
          <t>AWB-CBE-66219 (Delivered)</t>
        </is>
      </c>
      <c r="T23" s="40" t="inlineStr">
        <is>
          <t>2026-09-09</t>
        </is>
      </c>
      <c r="U23" s="42" t="inlineStr">
        <is>
          <t>Discovery kit dispatched. Follow up for banquet contract.</t>
        </is>
      </c>
    </row>
    <row r="24" ht="20" customHeight="1">
      <c r="A24" s="13" t="inlineStr">
        <is>
          <t>KTA-2026-098</t>
        </is>
      </c>
      <c r="B24" s="13" t="inlineStr">
        <is>
          <t>2026-09-01</t>
        </is>
      </c>
      <c r="C24" s="13" t="inlineStr">
        <is>
          <t>11:00</t>
        </is>
      </c>
      <c r="D24" s="13" t="inlineStr">
        <is>
          <t>Wholesale Form</t>
        </is>
      </c>
      <c r="E24" s="16" t="inlineStr">
        <is>
          <t>Ashwin Mehta</t>
        </is>
      </c>
      <c r="F24" s="16" t="inlineStr">
        <is>
          <t>Mehta Agro Commodities</t>
        </is>
      </c>
      <c r="G24" s="16" t="inlineStr">
        <is>
          <t>Wholesaler</t>
        </is>
      </c>
      <c r="H24" s="16" t="inlineStr">
        <is>
          <t>+91 98201 11223</t>
        </is>
      </c>
      <c r="I24" s="16" t="inlineStr">
        <is>
          <t>ashwin@mehtaagro.com</t>
        </is>
      </c>
      <c r="J24" s="16" t="inlineStr">
        <is>
          <t>Mumbai, MH</t>
        </is>
      </c>
      <c r="K24" s="16" t="inlineStr">
        <is>
          <t>Tellicherry TGSEB Black Pepper</t>
        </is>
      </c>
      <c r="L24" s="43" t="inlineStr">
        <is>
          <t>3 MT Pallet Consignment</t>
        </is>
      </c>
      <c r="M24" s="13" t="inlineStr">
        <is>
          <t>Suresh M. (Wholesale)</t>
        </is>
      </c>
      <c r="N24" s="13" t="inlineStr">
        <is>
          <t>High Priority</t>
        </is>
      </c>
      <c r="O24" s="13" t="inlineStr">
        <is>
          <t>Closed Won</t>
        </is>
      </c>
      <c r="P24" s="15" t="n">
        <v>680</v>
      </c>
      <c r="Q24" s="15" t="n">
        <v>2040000</v>
      </c>
      <c r="R24" s="13" t="inlineStr">
        <is>
          <t>Advance Bank Transfer</t>
        </is>
      </c>
      <c r="S24" s="16" t="inlineStr">
        <is>
          <t>Not Applicable</t>
        </is>
      </c>
      <c r="T24" s="13" t="inlineStr">
        <is>
          <t>2026-09-10</t>
        </is>
      </c>
      <c r="U24" s="16" t="inlineStr">
        <is>
          <t>3 MT wholesale consignment dispatched ex-warehouse.</t>
        </is>
      </c>
    </row>
    <row r="25" ht="20" customHeight="1">
      <c r="A25" s="37" t="inlineStr">
        <is>
          <t>KTA-2026-099</t>
        </is>
      </c>
      <c r="B25" s="37" t="inlineStr">
        <is>
          <t>2026-09-01</t>
        </is>
      </c>
      <c r="C25" s="37" t="inlineStr">
        <is>
          <t>14:15</t>
        </is>
      </c>
      <c r="D25" s="37" t="inlineStr">
        <is>
          <t>Inbound Call</t>
        </is>
      </c>
      <c r="E25" s="38" t="inlineStr">
        <is>
          <t>Gowri Shankar</t>
        </is>
      </c>
      <c r="F25" s="38" t="inlineStr">
        <is>
          <t>Sri Krishna Sweets</t>
        </is>
      </c>
      <c r="G25" s="38" t="inlineStr">
        <is>
          <t>Quality Manager</t>
        </is>
      </c>
      <c r="H25" s="38" t="inlineStr">
        <is>
          <t>+91 94430 88776</t>
        </is>
      </c>
      <c r="I25" s="38" t="inlineStr">
        <is>
          <t>gowri@srikrishnasweets.com</t>
        </is>
      </c>
      <c r="J25" s="38" t="inlineStr">
        <is>
          <t>Coimbatore, TN</t>
        </is>
      </c>
      <c r="K25" s="38" t="inlineStr">
        <is>
          <t>Alleppey 8mm Cardamom &amp; Cashews</t>
        </is>
      </c>
      <c r="L25" s="39" t="inlineStr">
        <is>
          <t>250 kg Festive Lot</t>
        </is>
      </c>
      <c r="M25" s="40" t="inlineStr">
        <is>
          <t>Praveen K. (Key Accounts)</t>
        </is>
      </c>
      <c r="N25" s="40" t="inlineStr">
        <is>
          <t>High Priority</t>
        </is>
      </c>
      <c r="O25" s="40" t="inlineStr">
        <is>
          <t>Commercial Quote Sent</t>
        </is>
      </c>
      <c r="P25" s="41" t="n">
        <v>2080</v>
      </c>
      <c r="Q25" s="41" t="n">
        <v>520000</v>
      </c>
      <c r="R25" s="40" t="inlineStr">
        <is>
          <t>15-Day Credit</t>
        </is>
      </c>
      <c r="S25" s="42" t="inlineStr">
        <is>
          <t>Pending Approval</t>
        </is>
      </c>
      <c r="T25" s="40" t="inlineStr">
        <is>
          <t>2026-09-08</t>
        </is>
      </c>
      <c r="U25" s="42" t="inlineStr">
        <is>
          <t>Deepavali pre-booking quote submitted.</t>
        </is>
      </c>
    </row>
    <row r="26" ht="20" customHeight="1">
      <c r="A26" s="13" t="inlineStr">
        <is>
          <t>KTA-2026-100</t>
        </is>
      </c>
      <c r="B26" s="13" t="inlineStr">
        <is>
          <t>2026-08-31</t>
        </is>
      </c>
      <c r="C26" s="13" t="inlineStr">
        <is>
          <t>10:00</t>
        </is>
      </c>
      <c r="D26" s="13" t="inlineStr">
        <is>
          <t>AI Chatbot</t>
        </is>
      </c>
      <c r="E26" s="16" t="inlineStr">
        <is>
          <t>Chef Thomas Varghese</t>
        </is>
      </c>
      <c r="F26" s="16" t="inlineStr">
        <is>
          <t>Marriott Kochi</t>
        </is>
      </c>
      <c r="G26" s="16" t="inlineStr">
        <is>
          <t>Executive Chef</t>
        </is>
      </c>
      <c r="H26" s="16" t="inlineStr">
        <is>
          <t>+91 98460 77889</t>
        </is>
      </c>
      <c r="I26" s="16" t="inlineStr">
        <is>
          <t>thomas.varghese@marriott.com</t>
        </is>
      </c>
      <c r="J26" s="16" t="inlineStr">
        <is>
          <t>Kochi, KL</t>
        </is>
      </c>
      <c r="K26" s="16" t="inlineStr">
        <is>
          <t>Tellicherry Black Pepper &amp; Cardamom</t>
        </is>
      </c>
      <c r="L26" s="43" t="inlineStr">
        <is>
          <t>200 kg Kitchen Supply</t>
        </is>
      </c>
      <c r="M26" s="13" t="inlineStr">
        <is>
          <t>Kavitha S. (Hospitality)</t>
        </is>
      </c>
      <c r="N26" s="13" t="inlineStr">
        <is>
          <t>High Priority</t>
        </is>
      </c>
      <c r="O26" s="13" t="inlineStr">
        <is>
          <t>Closed Won</t>
        </is>
      </c>
      <c r="P26" s="15" t="n">
        <v>825</v>
      </c>
      <c r="Q26" s="15" t="n">
        <v>165000</v>
      </c>
      <c r="R26" s="13" t="inlineStr">
        <is>
          <t>30-Day Revolving</t>
        </is>
      </c>
      <c r="S26" s="16" t="inlineStr">
        <is>
          <t>AWB-KOC-99201 (Delivered)</t>
        </is>
      </c>
      <c r="T26" s="13" t="inlineStr">
        <is>
          <t>2026-09-07</t>
        </is>
      </c>
      <c r="U26" s="16" t="inlineStr">
        <is>
          <t>Hotel Smart priority par replenishment enrolled.</t>
        </is>
      </c>
    </row>
    <row r="27" ht="20" customHeight="1">
      <c r="A27" s="37" t="inlineStr">
        <is>
          <t>KTA-2026-101</t>
        </is>
      </c>
      <c r="B27" s="37" t="inlineStr">
        <is>
          <t>2026-08-31</t>
        </is>
      </c>
      <c r="C27" s="37" t="inlineStr">
        <is>
          <t>12:45</t>
        </is>
      </c>
      <c r="D27" s="37" t="inlineStr">
        <is>
          <t>Website RFQ</t>
        </is>
      </c>
      <c r="E27" s="38" t="inlineStr">
        <is>
          <t>Naveen Reddy</t>
        </is>
      </c>
      <c r="F27" s="38" t="inlineStr">
        <is>
          <t>Reddy Hospitality Chain</t>
        </is>
      </c>
      <c r="G27" s="38" t="inlineStr">
        <is>
          <t>Director</t>
        </is>
      </c>
      <c r="H27" s="38" t="inlineStr">
        <is>
          <t>+91 98490 55667</t>
        </is>
      </c>
      <c r="I27" s="38" t="inlineStr">
        <is>
          <t>naveen@reddyhotels.com</t>
        </is>
      </c>
      <c r="J27" s="38" t="inlineStr">
        <is>
          <t>Hyderabad, TS</t>
        </is>
      </c>
      <c r="K27" s="38" t="inlineStr">
        <is>
          <t>Guntur Chilly &amp; Jeera Powder</t>
        </is>
      </c>
      <c r="L27" s="39" t="inlineStr">
        <is>
          <t>400 kg Master Bags</t>
        </is>
      </c>
      <c r="M27" s="40" t="inlineStr">
        <is>
          <t>Anand R. (Trade Desk)</t>
        </is>
      </c>
      <c r="N27" s="40" t="inlineStr">
        <is>
          <t>Medium Priority</t>
        </is>
      </c>
      <c r="O27" s="40" t="inlineStr">
        <is>
          <t>Contacted / In Touch</t>
        </is>
      </c>
      <c r="P27" s="41" t="n">
        <v>460</v>
      </c>
      <c r="Q27" s="41" t="n">
        <v>185000</v>
      </c>
      <c r="R27" s="40" t="inlineStr">
        <is>
          <t>15-Day Credit</t>
        </is>
      </c>
      <c r="S27" s="42" t="inlineStr">
        <is>
          <t>Pending Dispatch</t>
        </is>
      </c>
      <c r="T27" s="40" t="inlineStr">
        <is>
          <t>2026-09-09</t>
        </is>
      </c>
      <c r="U27" s="42" t="inlineStr">
        <is>
          <t>Discussing quarterly delivery schedule for 8 restaurant units.</t>
        </is>
      </c>
    </row>
    <row r="28" ht="20" customHeight="1">
      <c r="A28" s="13" t="inlineStr">
        <is>
          <t>KTA-2026-102</t>
        </is>
      </c>
      <c r="B28" s="13" t="inlineStr">
        <is>
          <t>2026-08-30</t>
        </is>
      </c>
      <c r="C28" s="13" t="inlineStr">
        <is>
          <t>14:30</t>
        </is>
      </c>
      <c r="D28" s="13" t="inlineStr">
        <is>
          <t>Chef Sample Box</t>
        </is>
      </c>
      <c r="E28" s="16" t="inlineStr">
        <is>
          <t>Chef Alok Joshi</t>
        </is>
      </c>
      <c r="F28" s="16" t="inlineStr">
        <is>
          <t>Radisson Blu</t>
        </is>
      </c>
      <c r="G28" s="16" t="inlineStr">
        <is>
          <t>Executive Sous Chef</t>
        </is>
      </c>
      <c r="H28" s="16" t="inlineStr">
        <is>
          <t>+91 98205 33445</t>
        </is>
      </c>
      <c r="I28" s="16" t="inlineStr">
        <is>
          <t>alok.joshi@radisson.com</t>
        </is>
      </c>
      <c r="J28" s="16" t="inlineStr">
        <is>
          <t>Chennai, TN</t>
        </is>
      </c>
      <c r="K28" s="16" t="inlineStr">
        <is>
          <t>Royal Garam Masala &amp; Loomi</t>
        </is>
      </c>
      <c r="L28" s="43" t="inlineStr">
        <is>
          <t>1kg Discovery Kit</t>
        </is>
      </c>
      <c r="M28" s="13" t="inlineStr">
        <is>
          <t>Kavitha S. (Hospitality)</t>
        </is>
      </c>
      <c r="N28" s="13" t="inlineStr">
        <is>
          <t>Standard Priority</t>
        </is>
      </c>
      <c r="O28" s="13" t="inlineStr">
        <is>
          <t>Sample Dispatched</t>
        </is>
      </c>
      <c r="P28" s="15" t="n">
        <v>0</v>
      </c>
      <c r="Q28" s="15" t="n">
        <v>0</v>
      </c>
      <c r="R28" s="13" t="inlineStr">
        <is>
          <t>Complimentary</t>
        </is>
      </c>
      <c r="S28" s="16" t="inlineStr">
        <is>
          <t>AWB-CHE-88129 (Delivered)</t>
        </is>
      </c>
      <c r="T28" s="13" t="inlineStr">
        <is>
          <t>2026-09-08</t>
        </is>
      </c>
      <c r="U28" s="16" t="inlineStr">
        <is>
          <t>Chef Discovery Box in transit.</t>
        </is>
      </c>
    </row>
    <row r="29" ht="20" customHeight="1">
      <c r="A29" s="37" t="inlineStr">
        <is>
          <t>KTA-2026-103</t>
        </is>
      </c>
      <c r="B29" s="37" t="inlineStr">
        <is>
          <t>2026-08-29</t>
        </is>
      </c>
      <c r="C29" s="37" t="inlineStr">
        <is>
          <t>11:20</t>
        </is>
      </c>
      <c r="D29" s="37" t="inlineStr">
        <is>
          <t>Wholesale Form</t>
        </is>
      </c>
      <c r="E29" s="38" t="inlineStr">
        <is>
          <t>Murugan Chettiar</t>
        </is>
      </c>
      <c r="F29" s="38" t="inlineStr">
        <is>
          <t>Chettinad Spices &amp; Oils</t>
        </is>
      </c>
      <c r="G29" s="38" t="inlineStr">
        <is>
          <t>Managing Director</t>
        </is>
      </c>
      <c r="H29" s="38" t="inlineStr">
        <is>
          <t>+91 94444 88990</t>
        </is>
      </c>
      <c r="I29" s="38" t="inlineStr">
        <is>
          <t>murugan@chettinadspices.in</t>
        </is>
      </c>
      <c r="J29" s="38" t="inlineStr">
        <is>
          <t>Karaikudi, TN</t>
        </is>
      </c>
      <c r="K29" s="38" t="inlineStr">
        <is>
          <t>Zanzibar Cloves &amp; Star Anise</t>
        </is>
      </c>
      <c r="L29" s="39" t="inlineStr">
        <is>
          <t>800 kg Master Bags</t>
        </is>
      </c>
      <c r="M29" s="40" t="inlineStr">
        <is>
          <t>Suresh M. (Wholesale)</t>
        </is>
      </c>
      <c r="N29" s="40" t="inlineStr">
        <is>
          <t>High Priority</t>
        </is>
      </c>
      <c r="O29" s="40" t="inlineStr">
        <is>
          <t>Closed Won</t>
        </is>
      </c>
      <c r="P29" s="41" t="n">
        <v>800</v>
      </c>
      <c r="Q29" s="41" t="n">
        <v>640000</v>
      </c>
      <c r="R29" s="40" t="inlineStr">
        <is>
          <t>Advance Bank Transfer</t>
        </is>
      </c>
      <c r="S29" s="42" t="inlineStr">
        <is>
          <t>Not Applicable</t>
        </is>
      </c>
      <c r="T29" s="40" t="inlineStr">
        <is>
          <t>2026-09-06</t>
        </is>
      </c>
      <c r="U29" s="42" t="inlineStr">
        <is>
          <t>Payment received via RTGS. Cargo dispatched.</t>
        </is>
      </c>
    </row>
    <row r="30" ht="20" customHeight="1">
      <c r="A30" s="13" t="inlineStr">
        <is>
          <t>KTA-2026-104</t>
        </is>
      </c>
      <c r="B30" s="13" t="inlineStr">
        <is>
          <t>2026-08-28</t>
        </is>
      </c>
      <c r="C30" s="13" t="inlineStr">
        <is>
          <t>15:10</t>
        </is>
      </c>
      <c r="D30" s="13" t="inlineStr">
        <is>
          <t>WhatsApp Desk</t>
        </is>
      </c>
      <c r="E30" s="16" t="inlineStr">
        <is>
          <t>Chef Kiran Deshmukh</t>
        </is>
      </c>
      <c r="F30" s="16" t="inlineStr">
        <is>
          <t>Vivanta by Taj</t>
        </is>
      </c>
      <c r="G30" s="16" t="inlineStr">
        <is>
          <t>Executive Chef</t>
        </is>
      </c>
      <c r="H30" s="16" t="inlineStr">
        <is>
          <t>+91 98220 77665</t>
        </is>
      </c>
      <c r="I30" s="16" t="inlineStr">
        <is>
          <t>kiran.d@tajhotels.com</t>
        </is>
      </c>
      <c r="J30" s="16" t="inlineStr">
        <is>
          <t>Coimbatore, TN</t>
        </is>
      </c>
      <c r="K30" s="16" t="inlineStr">
        <is>
          <t>Tellicherry Pepper &amp; Cardamom</t>
        </is>
      </c>
      <c r="L30" s="43" t="inlineStr">
        <is>
          <t>150 kg Kitchen Pack</t>
        </is>
      </c>
      <c r="M30" s="13" t="inlineStr">
        <is>
          <t>Anand R. (Trade Desk)</t>
        </is>
      </c>
      <c r="N30" s="13" t="inlineStr">
        <is>
          <t>High Priority</t>
        </is>
      </c>
      <c r="O30" s="13" t="inlineStr">
        <is>
          <t>Closed Won</t>
        </is>
      </c>
      <c r="P30" s="15" t="n">
        <v>965</v>
      </c>
      <c r="Q30" s="15" t="n">
        <v>145000</v>
      </c>
      <c r="R30" s="13" t="inlineStr">
        <is>
          <t>30-Day Revolving</t>
        </is>
      </c>
      <c r="S30" s="16" t="inlineStr">
        <is>
          <t>AWB-CBE-33102 (Delivered)</t>
        </is>
      </c>
      <c r="T30" s="13" t="inlineStr">
        <is>
          <t>2026-09-05</t>
        </is>
      </c>
      <c r="U30" s="16" t="inlineStr">
        <is>
          <t>Contract signed. First batch delivered successfully.</t>
        </is>
      </c>
    </row>
    <row r="31" ht="24" customHeight="1">
      <c r="A31" s="44" t="inlineStr">
        <is>
          <t>TOTALS</t>
        </is>
      </c>
      <c r="B31" s="45" t="inlineStr">
        <is>
          <t>Active Inbound Inquiries Logged by System (24 Inquiries)</t>
        </is>
      </c>
      <c r="M31" s="46" t="inlineStr">
        <is>
          <t>Total Sales Pipeline Booked &amp; Open Value:</t>
        </is>
      </c>
      <c r="Q31" s="47">
        <f>SUM(Q7:Q30)</f>
        <v/>
      </c>
      <c r="R31" s="48" t="inlineStr">
        <is>
          <t>Monitored live by Executive Management</t>
        </is>
      </c>
    </row>
  </sheetData>
  <mergeCells count="9">
    <mergeCell ref="M31:P31"/>
    <mergeCell ref="A2:U2"/>
    <mergeCell ref="R31:U31"/>
    <mergeCell ref="A5:L5"/>
    <mergeCell ref="M5:U5"/>
    <mergeCell ref="M4:U4"/>
    <mergeCell ref="A1:U1"/>
    <mergeCell ref="B31:L31"/>
    <mergeCell ref="A4:L4"/>
  </mergeCells>
  <conditionalFormatting sqref="O7:O31">
    <cfRule type="cellIs" priority="1" operator="equal" dxfId="0" stopIfTrue="1">
      <formula>"Closed Won"</formula>
    </cfRule>
    <cfRule type="cellIs" priority="2" operator="equal" dxfId="1" stopIfTrue="1">
      <formula>"Commercial Quote Sent"</formula>
    </cfRule>
    <cfRule type="cellIs" priority="3" operator="equal" dxfId="2" stopIfTrue="1">
      <formula>"Sample Dispatched"</formula>
    </cfRule>
    <cfRule type="cellIs" priority="4" operator="equal" dxfId="3" stopIfTrue="1">
      <formula>"Contacted / In Touch"</formula>
    </cfRule>
    <cfRule type="cellIs" priority="5" operator="equal" dxfId="4" stopIfTrue="1">
      <formula>"Closed Lost"</formula>
    </cfRule>
    <cfRule type="cellIs" priority="6" operator="equal" dxfId="5" stopIfTrue="1">
      <formula>"New Inquiry"</formula>
    </cfRule>
  </conditionalFormatting>
  <dataValidations count="4">
    <dataValidation sqref="O7:O131" showDropDown="0" showInputMessage="0" showErrorMessage="0" allowBlank="1" errorTitle="Invalid Sales Stage" error="Please select a valid sales stage from the dropdown list." promptTitle="Employee Action: Deal Stage" prompt="Select current sales pipeline stage" type="list">
      <formula1>"New Inquiry,Contacted / In Touch,Sample Dispatched,Commercial Quote Sent,Closed Won,Closed Lost,Disqualified"</formula1>
    </dataValidation>
    <dataValidation sqref="N7:N131" showDropDown="0" showInputMessage="0" showErrorMessage="0" allowBlank="1" promptTitle="Employee Action: Priority" prompt="Select client priority tier" type="list">
      <formula1>"High Priority,Medium Priority,Standard Priority"</formula1>
    </dataValidation>
    <dataValidation sqref="M7:M131" showDropDown="0" showInputMessage="0" showErrorMessage="0" allowBlank="1" promptTitle="Employee Action: Assigned Rep" prompt="Assign sales executive to lead" type="list">
      <formula1>"Anand R. (Trade Desk),Kavitha S. (Hospitality),Suresh M. (Wholesale),Praveen K. (Key Accounts)"</formula1>
    </dataValidation>
    <dataValidation sqref="R7:R131" showDropDown="0" showInputMessage="0" showErrorMessage="0" allowBlank="1" promptTitle="Employee Action: Payment Terms" prompt="Select agreed payment terms" type="list">
      <formula1>"Advance Bank Transfer,15-Day Credit,30-Day Revolving,Letter of Credit (LC),Cash on Delivery,Complimentary"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22" customWidth="1" min="3" max="3"/>
    <col width="14" customWidth="1" min="4" max="4"/>
    <col width="18" customWidth="1" min="5" max="5"/>
    <col width="28" customWidth="1" min="6" max="6"/>
    <col width="28" customWidth="1" min="7" max="7"/>
    <col width="45" customWidth="1" min="8" max="8"/>
  </cols>
  <sheetData>
    <row r="1" ht="34" customHeight="1">
      <c r="A1" s="1" t="inlineStr">
        <is>
          <t>KTA SPICES - PRODUCT MASTER &amp; COMMERCIAL RATE CARD</t>
        </is>
      </c>
    </row>
    <row r="2" ht="20" customHeight="1">
      <c r="A2" s="2" t="inlineStr">
        <is>
          <t>Master Reference for Sales Executives: HSN Codes, Benchmark Commercial Rates &amp; Standard Packaging Specifications</t>
        </is>
      </c>
    </row>
    <row r="3"/>
    <row r="4" ht="24" customHeight="1">
      <c r="A4" s="10" t="inlineStr">
        <is>
          <t>SKU Code</t>
        </is>
      </c>
      <c r="B4" s="12" t="inlineStr">
        <is>
          <t>Product Variety Name</t>
        </is>
      </c>
      <c r="C4" s="10" t="inlineStr">
        <is>
          <t>Category</t>
        </is>
      </c>
      <c r="D4" s="10" t="inlineStr">
        <is>
          <t>HSN Code</t>
        </is>
      </c>
      <c r="E4" s="11" t="inlineStr">
        <is>
          <t>Base Rate (₹/kg)</t>
        </is>
      </c>
      <c r="F4" s="10" t="inlineStr">
        <is>
          <t>Wholesale Bag (MOQ)</t>
        </is>
      </c>
      <c r="G4" s="10" t="inlineStr">
        <is>
          <t>Chef Foodservice Pack</t>
        </is>
      </c>
      <c r="H4" s="12" t="inlineStr">
        <is>
          <t>Culinary Grade &amp; Note</t>
        </is>
      </c>
    </row>
    <row r="5" ht="20" customHeight="1">
      <c r="A5" s="17" t="inlineStr">
        <is>
          <t>KTA-SP-001</t>
        </is>
      </c>
      <c r="B5" s="20" t="inlineStr">
        <is>
          <t>Tellicherry Black Pepper (TGSEB Whole)</t>
        </is>
      </c>
      <c r="C5" s="17" t="inlineStr">
        <is>
          <t>Single-Origin Spices</t>
        </is>
      </c>
      <c r="D5" s="17" t="inlineStr">
        <is>
          <t>09041140</t>
        </is>
      </c>
      <c r="E5" s="19" t="n">
        <v>680</v>
      </c>
      <c r="F5" s="17" t="inlineStr">
        <is>
          <t>40kg Master Bags (500kg MOQ)</t>
        </is>
      </c>
      <c r="G5" s="17" t="inlineStr">
        <is>
          <t>1kg Barrier Pouch / 5kg Tin</t>
        </is>
      </c>
      <c r="H5" s="20" t="inlineStr">
        <is>
          <t>Bold 4.75mm+ Extra Bold, High Natural Volatiles</t>
        </is>
      </c>
    </row>
    <row r="6" ht="20" customHeight="1">
      <c r="A6" s="13" t="inlineStr">
        <is>
          <t>KTA-SP-002</t>
        </is>
      </c>
      <c r="B6" s="16" t="inlineStr">
        <is>
          <t>Black Pepper Powder (Cold-Milled)</t>
        </is>
      </c>
      <c r="C6" s="13" t="inlineStr">
        <is>
          <t>Single-Origin Spices</t>
        </is>
      </c>
      <c r="D6" s="13" t="inlineStr">
        <is>
          <t>09041200</t>
        </is>
      </c>
      <c r="E6" s="15" t="n">
        <v>710</v>
      </c>
      <c r="F6" s="13" t="inlineStr">
        <is>
          <t>40kg Master Bags (500kg MOQ)</t>
        </is>
      </c>
      <c r="G6" s="13" t="inlineStr">
        <is>
          <t>1kg Kitchen Pouch</t>
        </is>
      </c>
      <c r="H6" s="16" t="inlineStr">
        <is>
          <t>Chef-Grade Ground, Zero Pinhead Waste</t>
        </is>
      </c>
    </row>
    <row r="7" ht="20" customHeight="1">
      <c r="A7" s="17" t="inlineStr">
        <is>
          <t>KTA-SP-003</t>
        </is>
      </c>
      <c r="B7" s="20" t="inlineStr">
        <is>
          <t>White Pepper (Decorticated Whole)</t>
        </is>
      </c>
      <c r="C7" s="17" t="inlineStr">
        <is>
          <t>Single-Origin Spices</t>
        </is>
      </c>
      <c r="D7" s="17" t="inlineStr">
        <is>
          <t>09041110</t>
        </is>
      </c>
      <c r="E7" s="19" t="n">
        <v>920</v>
      </c>
      <c r="F7" s="17" t="inlineStr">
        <is>
          <t>40kg Master Bags (500kg MOQ)</t>
        </is>
      </c>
      <c r="G7" s="17" t="inlineStr">
        <is>
          <t>1kg Barrier Pouch</t>
        </is>
      </c>
      <c r="H7" s="20" t="inlineStr">
        <is>
          <t>High Volatile Oil, Subtle Pungent Heat</t>
        </is>
      </c>
    </row>
    <row r="8" ht="20" customHeight="1">
      <c r="A8" s="13" t="inlineStr">
        <is>
          <t>KTA-SP-004</t>
        </is>
      </c>
      <c r="B8" s="16" t="inlineStr">
        <is>
          <t>White Pepper Powder</t>
        </is>
      </c>
      <c r="C8" s="13" t="inlineStr">
        <is>
          <t>Single-Origin Spices</t>
        </is>
      </c>
      <c r="D8" s="13" t="inlineStr">
        <is>
          <t>09041200</t>
        </is>
      </c>
      <c r="E8" s="15" t="n">
        <v>960</v>
      </c>
      <c r="F8" s="13" t="inlineStr">
        <is>
          <t>40kg Master Bags (500kg MOQ)</t>
        </is>
      </c>
      <c r="G8" s="13" t="inlineStr">
        <is>
          <t>1kg Kitchen Pouch</t>
        </is>
      </c>
      <c r="H8" s="16" t="inlineStr">
        <is>
          <t>Fine White Grind for Continental &amp; Cream Soups</t>
        </is>
      </c>
    </row>
    <row r="9" ht="20" customHeight="1">
      <c r="A9" s="17" t="inlineStr">
        <is>
          <t>KTA-SP-005</t>
        </is>
      </c>
      <c r="B9" s="20" t="inlineStr">
        <is>
          <t>Salem Golden Turmeric Powder</t>
        </is>
      </c>
      <c r="C9" s="17" t="inlineStr">
        <is>
          <t>Single-Origin Spices</t>
        </is>
      </c>
      <c r="D9" s="17" t="inlineStr">
        <is>
          <t>09103030</t>
        </is>
      </c>
      <c r="E9" s="19" t="n">
        <v>280</v>
      </c>
      <c r="F9" s="17" t="inlineStr">
        <is>
          <t>40kg Triple-Lined Bags</t>
        </is>
      </c>
      <c r="G9" s="17" t="inlineStr">
        <is>
          <t>1kg Chef Pouch</t>
        </is>
      </c>
      <c r="H9" s="20" t="inlineStr">
        <is>
          <t>Pure Ground Native Rhizome, Zero Lead Chromate</t>
        </is>
      </c>
    </row>
    <row r="10" ht="20" customHeight="1">
      <c r="A10" s="13" t="inlineStr">
        <is>
          <t>KTA-SP-006</t>
        </is>
      </c>
      <c r="B10" s="16" t="inlineStr">
        <is>
          <t>Kashmiri Chilly Whole (ASTA 120+)</t>
        </is>
      </c>
      <c r="C10" s="13" t="inlineStr">
        <is>
          <t>Single-Origin Spices</t>
        </is>
      </c>
      <c r="D10" s="13" t="inlineStr">
        <is>
          <t>09042219</t>
        </is>
      </c>
      <c r="E10" s="15" t="n">
        <v>420</v>
      </c>
      <c r="F10" s="13" t="inlineStr">
        <is>
          <t>25kg Master Bags</t>
        </is>
      </c>
      <c r="G10" s="13" t="inlineStr">
        <is>
          <t>1kg Chef Pouch</t>
        </is>
      </c>
      <c r="H10" s="16" t="inlineStr">
        <is>
          <t>Deep Scarlet Natural Color, Mild Pungency</t>
        </is>
      </c>
    </row>
    <row r="11" ht="20" customHeight="1">
      <c r="A11" s="17" t="inlineStr">
        <is>
          <t>KTA-SP-007</t>
        </is>
      </c>
      <c r="B11" s="20" t="inlineStr">
        <is>
          <t>Kashmiri Chilly Powder</t>
        </is>
      </c>
      <c r="C11" s="17" t="inlineStr">
        <is>
          <t>Single-Origin Spices</t>
        </is>
      </c>
      <c r="D11" s="17" t="inlineStr">
        <is>
          <t>09042211</t>
        </is>
      </c>
      <c r="E11" s="19" t="n">
        <v>450</v>
      </c>
      <c r="F11" s="17" t="inlineStr">
        <is>
          <t>25kg Master Bags</t>
        </is>
      </c>
      <c r="G11" s="17" t="inlineStr">
        <is>
          <t>1kg Chef Pouch</t>
        </is>
      </c>
      <c r="H11" s="20" t="inlineStr">
        <is>
          <t>Vibrant Natural Color Extraction for Gravies</t>
        </is>
      </c>
    </row>
    <row r="12" ht="20" customHeight="1">
      <c r="A12" s="13" t="inlineStr">
        <is>
          <t>KTA-SP-008</t>
        </is>
      </c>
      <c r="B12" s="16" t="inlineStr">
        <is>
          <t>Guntur S4 Stemless Red Chilly</t>
        </is>
      </c>
      <c r="C12" s="13" t="inlineStr">
        <is>
          <t>Single-Origin Spices</t>
        </is>
      </c>
      <c r="D12" s="13" t="inlineStr">
        <is>
          <t>09042219</t>
        </is>
      </c>
      <c r="E12" s="15" t="n">
        <v>240</v>
      </c>
      <c r="F12" s="13" t="inlineStr">
        <is>
          <t>25kg Master Bags</t>
        </is>
      </c>
      <c r="G12" s="13" t="inlineStr">
        <is>
          <t>1kg Chef Pouch</t>
        </is>
      </c>
      <c r="H12" s="16" t="inlineStr">
        <is>
          <t>High Heat SHU 35,000+, Clean Stemless</t>
        </is>
      </c>
    </row>
    <row r="13" ht="20" customHeight="1">
      <c r="A13" s="17" t="inlineStr">
        <is>
          <t>KTA-SP-009</t>
        </is>
      </c>
      <c r="B13" s="20" t="inlineStr">
        <is>
          <t>Alleppey Green Cardamom 8mm+ Extra Bold</t>
        </is>
      </c>
      <c r="C13" s="17" t="inlineStr">
        <is>
          <t>Single-Origin Spices</t>
        </is>
      </c>
      <c r="D13" s="17" t="inlineStr">
        <is>
          <t>09083140</t>
        </is>
      </c>
      <c r="E13" s="19" t="n">
        <v>2450</v>
      </c>
      <c r="F13" s="17" t="inlineStr">
        <is>
          <t>40kg Master Bags</t>
        </is>
      </c>
      <c r="G13" s="17" t="inlineStr">
        <is>
          <t>1kg Aroma Vacuum Tin</t>
        </is>
      </c>
      <c r="H13" s="20" t="inlineStr">
        <is>
          <t>8mm+ Calibrated Pods, Intense Sweet Terpene</t>
        </is>
      </c>
    </row>
    <row r="14" ht="20" customHeight="1">
      <c r="A14" s="13" t="inlineStr">
        <is>
          <t>KTA-SP-010</t>
        </is>
      </c>
      <c r="B14" s="16" t="inlineStr">
        <is>
          <t>Black Cardamom (Badi Elaichi)</t>
        </is>
      </c>
      <c r="C14" s="13" t="inlineStr">
        <is>
          <t>Single-Origin Spices</t>
        </is>
      </c>
      <c r="D14" s="13" t="inlineStr">
        <is>
          <t>09083110</t>
        </is>
      </c>
      <c r="E14" s="15" t="n">
        <v>1250</v>
      </c>
      <c r="F14" s="13" t="inlineStr">
        <is>
          <t>40kg Master Bags</t>
        </is>
      </c>
      <c r="G14" s="13" t="inlineStr">
        <is>
          <t>1kg Kitchen Pouch</t>
        </is>
      </c>
      <c r="H14" s="16" t="inlineStr">
        <is>
          <t>Smoky Camphorous Aroma, Dum Specialist</t>
        </is>
      </c>
    </row>
    <row r="15" ht="20" customHeight="1">
      <c r="A15" s="17" t="inlineStr">
        <is>
          <t>KTA-SP-011</t>
        </is>
      </c>
      <c r="B15" s="20" t="inlineStr">
        <is>
          <t>White Cardamom Whole</t>
        </is>
      </c>
      <c r="C15" s="17" t="inlineStr">
        <is>
          <t>Single-Origin Spices</t>
        </is>
      </c>
      <c r="D15" s="17" t="inlineStr">
        <is>
          <t>09083140</t>
        </is>
      </c>
      <c r="E15" s="19" t="n">
        <v>1850</v>
      </c>
      <c r="F15" s="17" t="inlineStr">
        <is>
          <t>40kg Master Bags</t>
        </is>
      </c>
      <c r="G15" s="17" t="inlineStr">
        <is>
          <t>1kg Vacuum Tin</t>
        </is>
      </c>
      <c r="H15" s="20" t="inlineStr">
        <is>
          <t>Intact Volatile Oil Seeds, Confectionery &amp; Biryani</t>
        </is>
      </c>
    </row>
    <row r="16" ht="20" customHeight="1">
      <c r="A16" s="13" t="inlineStr">
        <is>
          <t>KTA-SP-012</t>
        </is>
      </c>
      <c r="B16" s="16" t="inlineStr">
        <is>
          <t>Cochin Dry Ginger (Sun-Cured Whole)</t>
        </is>
      </c>
      <c r="C16" s="13" t="inlineStr">
        <is>
          <t>Single-Origin Spices</t>
        </is>
      </c>
      <c r="D16" s="13" t="inlineStr">
        <is>
          <t>09101110</t>
        </is>
      </c>
      <c r="E16" s="15" t="n">
        <v>380</v>
      </c>
      <c r="F16" s="13" t="inlineStr">
        <is>
          <t>40kg Master Bags</t>
        </is>
      </c>
      <c r="G16" s="13" t="inlineStr">
        <is>
          <t>1kg Chef Pouch</t>
        </is>
      </c>
      <c r="H16" s="16" t="inlineStr">
        <is>
          <t>High Gingerol, Unspent Low Fiber</t>
        </is>
      </c>
    </row>
    <row r="17" ht="20" customHeight="1">
      <c r="A17" s="17" t="inlineStr">
        <is>
          <t>KTA-SP-013</t>
        </is>
      </c>
      <c r="B17" s="20" t="inlineStr">
        <is>
          <t>Dry Ginger Powder (Cold-Milled)</t>
        </is>
      </c>
      <c r="C17" s="17" t="inlineStr">
        <is>
          <t>Single-Origin Spices</t>
        </is>
      </c>
      <c r="D17" s="17" t="inlineStr">
        <is>
          <t>09101210</t>
        </is>
      </c>
      <c r="E17" s="19" t="n">
        <v>410</v>
      </c>
      <c r="F17" s="17" t="inlineStr">
        <is>
          <t>40kg Master Bags</t>
        </is>
      </c>
      <c r="G17" s="17" t="inlineStr">
        <is>
          <t>1kg Kitchen Pouch</t>
        </is>
      </c>
      <c r="H17" s="20" t="inlineStr">
        <is>
          <t>Pure Ground Sonth, Warm Pungent Bite</t>
        </is>
      </c>
    </row>
    <row r="18" ht="20" customHeight="1">
      <c r="A18" s="13" t="inlineStr">
        <is>
          <t>KTA-SP-014</t>
        </is>
      </c>
      <c r="B18" s="16" t="inlineStr">
        <is>
          <t>Green Ginger (Raw Fresh Jumbo)</t>
        </is>
      </c>
      <c r="C18" s="13" t="inlineStr">
        <is>
          <t>Fresh Produce</t>
        </is>
      </c>
      <c r="D18" s="13" t="inlineStr">
        <is>
          <t>09101110</t>
        </is>
      </c>
      <c r="E18" s="15" t="n">
        <v>140</v>
      </c>
      <c r="F18" s="13" t="inlineStr">
        <is>
          <t>40kg Master Bags (500kg MOQ)</t>
        </is>
      </c>
      <c r="G18" s="13" t="inlineStr">
        <is>
          <t>40kg Farm Crates</t>
        </is>
      </c>
      <c r="H18" s="16" t="inlineStr">
        <is>
          <t>Farm-Direct Washed &amp; Air-Dried Rhizomes</t>
        </is>
      </c>
    </row>
    <row r="19" ht="20" customHeight="1">
      <c r="A19" s="17" t="inlineStr">
        <is>
          <t>KTA-SP-015</t>
        </is>
      </c>
      <c r="B19" s="20" t="inlineStr">
        <is>
          <t>Coriander Seeds (Eagle Sortex Whole)</t>
        </is>
      </c>
      <c r="C19" s="17" t="inlineStr">
        <is>
          <t>Single-Origin Spices</t>
        </is>
      </c>
      <c r="D19" s="17" t="inlineStr">
        <is>
          <t>09092110</t>
        </is>
      </c>
      <c r="E19" s="19" t="n">
        <v>160</v>
      </c>
      <c r="F19" s="17" t="inlineStr">
        <is>
          <t>40kg Master Bags</t>
        </is>
      </c>
      <c r="G19" s="17" t="inlineStr">
        <is>
          <t>1kg Chef Pouch</t>
        </is>
      </c>
      <c r="H19" s="20" t="inlineStr">
        <is>
          <t>High Linalool Aroma, Cleaned Seed Lot</t>
        </is>
      </c>
    </row>
    <row r="20" ht="20" customHeight="1">
      <c r="A20" s="13" t="inlineStr">
        <is>
          <t>KTA-SP-016</t>
        </is>
      </c>
      <c r="B20" s="16" t="inlineStr">
        <is>
          <t>Coriander Powder (Cold-Milled)</t>
        </is>
      </c>
      <c r="C20" s="13" t="inlineStr">
        <is>
          <t>Single-Origin Spices</t>
        </is>
      </c>
      <c r="D20" s="13" t="inlineStr">
        <is>
          <t>09092200</t>
        </is>
      </c>
      <c r="E20" s="15" t="n">
        <v>175</v>
      </c>
      <c r="F20" s="13" t="inlineStr">
        <is>
          <t>40kg Master Bags</t>
        </is>
      </c>
      <c r="G20" s="13" t="inlineStr">
        <is>
          <t>1kg Kitchen Pouch</t>
        </is>
      </c>
      <c r="H20" s="16" t="inlineStr">
        <is>
          <t>Zero Starches or Fillers, Fresh Ground</t>
        </is>
      </c>
    </row>
    <row r="21" ht="20" customHeight="1">
      <c r="A21" s="17" t="inlineStr">
        <is>
          <t>KTA-SP-017</t>
        </is>
      </c>
      <c r="B21" s="20" t="inlineStr">
        <is>
          <t>Jeera Cumin Seeds (Sortex Cleaned)</t>
        </is>
      </c>
      <c r="C21" s="17" t="inlineStr">
        <is>
          <t>Single-Origin Spices</t>
        </is>
      </c>
      <c r="D21" s="17" t="inlineStr">
        <is>
          <t>09093119</t>
        </is>
      </c>
      <c r="E21" s="19" t="n">
        <v>340</v>
      </c>
      <c r="F21" s="17" t="inlineStr">
        <is>
          <t>40kg Master Bags</t>
        </is>
      </c>
      <c r="G21" s="17" t="inlineStr">
        <is>
          <t>1kg Chef Pouch</t>
        </is>
      </c>
      <c r="H21" s="20" t="inlineStr">
        <is>
          <t>Machine-Cleaned 99.5% Purity, Earthy Aroma</t>
        </is>
      </c>
    </row>
    <row r="22" ht="20" customHeight="1">
      <c r="A22" s="13" t="inlineStr">
        <is>
          <t>KTA-SP-018</t>
        </is>
      </c>
      <c r="B22" s="16" t="inlineStr">
        <is>
          <t>Jeera Powder (Stone-Milled)</t>
        </is>
      </c>
      <c r="C22" s="13" t="inlineStr">
        <is>
          <t>Single-Origin Spices</t>
        </is>
      </c>
      <c r="D22" s="13" t="inlineStr">
        <is>
          <t>09093200</t>
        </is>
      </c>
      <c r="E22" s="15" t="n">
        <v>365</v>
      </c>
      <c r="F22" s="13" t="inlineStr">
        <is>
          <t>40kg Master Bags</t>
        </is>
      </c>
      <c r="G22" s="13" t="inlineStr">
        <is>
          <t>1kg Kitchen Pouch</t>
        </is>
      </c>
      <c r="H22" s="16" t="inlineStr">
        <is>
          <t>Stone-Milled Pure Ground Cuminaldehyde</t>
        </is>
      </c>
    </row>
    <row r="23" ht="20" customHeight="1">
      <c r="A23" s="17" t="inlineStr">
        <is>
          <t>KTA-SP-019</t>
        </is>
      </c>
      <c r="B23" s="20" t="inlineStr">
        <is>
          <t>Shahi Jeera (Valyajeerakam Caraway)</t>
        </is>
      </c>
      <c r="C23" s="17" t="inlineStr">
        <is>
          <t>Single-Origin Spices</t>
        </is>
      </c>
      <c r="D23" s="17" t="inlineStr">
        <is>
          <t>09093129</t>
        </is>
      </c>
      <c r="E23" s="19" t="n">
        <v>580</v>
      </c>
      <c r="F23" s="17" t="inlineStr">
        <is>
          <t>25kg Master Bags</t>
        </is>
      </c>
      <c r="G23" s="17" t="inlineStr">
        <is>
          <t>1kg Barrier Pouch</t>
        </is>
      </c>
      <c r="H23" s="20" t="inlineStr">
        <is>
          <t>Dark Mountain Seeds, Royal Dum Aroma</t>
        </is>
      </c>
    </row>
    <row r="24" ht="20" customHeight="1">
      <c r="A24" s="13" t="inlineStr">
        <is>
          <t>KTA-SP-020</t>
        </is>
      </c>
      <c r="B24" s="16" t="inlineStr">
        <is>
          <t>Star Anise 8-Pointed (Annachipoo)</t>
        </is>
      </c>
      <c r="C24" s="13" t="inlineStr">
        <is>
          <t>Single-Origin Spices</t>
        </is>
      </c>
      <c r="D24" s="13" t="inlineStr">
        <is>
          <t>09096119</t>
        </is>
      </c>
      <c r="E24" s="15" t="n">
        <v>680</v>
      </c>
      <c r="F24" s="13" t="inlineStr">
        <is>
          <t>25kg Master Bags</t>
        </is>
      </c>
      <c r="G24" s="13" t="inlineStr">
        <is>
          <t>1kg Chef Pouch</t>
        </is>
      </c>
      <c r="H24" s="16" t="inlineStr">
        <is>
          <t>High Anethole Volatiles, Intact 8 Points</t>
        </is>
      </c>
    </row>
    <row r="25" ht="20" customHeight="1">
      <c r="A25" s="17" t="inlineStr">
        <is>
          <t>KTA-SP-021</t>
        </is>
      </c>
      <c r="B25" s="20" t="inlineStr">
        <is>
          <t>Zanzibar Hand-Picked Cloves</t>
        </is>
      </c>
      <c r="C25" s="17" t="inlineStr">
        <is>
          <t>Single-Origin Spices</t>
        </is>
      </c>
      <c r="D25" s="17" t="inlineStr">
        <is>
          <t>09071010</t>
        </is>
      </c>
      <c r="E25" s="19" t="n">
        <v>980</v>
      </c>
      <c r="F25" s="17" t="inlineStr">
        <is>
          <t>40kg Master Bags</t>
        </is>
      </c>
      <c r="G25" s="17" t="inlineStr">
        <is>
          <t>1kg Vacuum Tin</t>
        </is>
      </c>
      <c r="H25" s="20" t="inlineStr">
        <is>
          <t>Head-On Intact Buds, High Eugenol Aroma</t>
        </is>
      </c>
    </row>
    <row r="26" ht="20" customHeight="1">
      <c r="A26" s="13" t="inlineStr">
        <is>
          <t>KTA-SP-022</t>
        </is>
      </c>
      <c r="B26" s="16" t="inlineStr">
        <is>
          <t>True Ceylon Cinnamon C5 Special (Pattai)</t>
        </is>
      </c>
      <c r="C26" s="13" t="inlineStr">
        <is>
          <t>Single-Origin Spices</t>
        </is>
      </c>
      <c r="D26" s="13" t="inlineStr">
        <is>
          <t>09061110</t>
        </is>
      </c>
      <c r="E26" s="15" t="n">
        <v>1150</v>
      </c>
      <c r="F26" s="13" t="inlineStr">
        <is>
          <t>25kg Master Bundles</t>
        </is>
      </c>
      <c r="G26" s="13" t="inlineStr">
        <is>
          <t>1kg Multi-Wall Pack</t>
        </is>
      </c>
      <c r="H26" s="16" t="inlineStr">
        <is>
          <t>Thin Layered Soft Quills, Ultra-Low Coumarin</t>
        </is>
      </c>
    </row>
    <row r="27" ht="20" customHeight="1">
      <c r="A27" s="17" t="inlineStr">
        <is>
          <t>KTA-SP-023</t>
        </is>
      </c>
      <c r="B27" s="20" t="inlineStr">
        <is>
          <t>Cassia Bark (Kesia)</t>
        </is>
      </c>
      <c r="C27" s="17" t="inlineStr">
        <is>
          <t>Single-Origin Spices</t>
        </is>
      </c>
      <c r="D27" s="17" t="inlineStr">
        <is>
          <t>09061910</t>
        </is>
      </c>
      <c r="E27" s="19" t="n">
        <v>380</v>
      </c>
      <c r="F27" s="17" t="inlineStr">
        <is>
          <t>25kg Master Bags</t>
        </is>
      </c>
      <c r="G27" s="17" t="inlineStr">
        <is>
          <t>1kg Chef Pouch</t>
        </is>
      </c>
      <c r="H27" s="20" t="inlineStr">
        <is>
          <t>Thick Rolled Bark, Robust Woody Heat</t>
        </is>
      </c>
    </row>
    <row r="28" ht="20" customHeight="1">
      <c r="A28" s="13" t="inlineStr">
        <is>
          <t>KTA-SP-024</t>
        </is>
      </c>
      <c r="B28" s="16" t="inlineStr">
        <is>
          <t>Bold Green Fennel (Sombu)</t>
        </is>
      </c>
      <c r="C28" s="13" t="inlineStr">
        <is>
          <t>Single-Origin Spices</t>
        </is>
      </c>
      <c r="D28" s="13" t="inlineStr">
        <is>
          <t>09096139</t>
        </is>
      </c>
      <c r="E28" s="15" t="n">
        <v>260</v>
      </c>
      <c r="F28" s="13" t="inlineStr">
        <is>
          <t>40kg Master Bags</t>
        </is>
      </c>
      <c r="G28" s="13" t="inlineStr">
        <is>
          <t>1kg Chef Pouch</t>
        </is>
      </c>
      <c r="H28" s="16" t="inlineStr">
        <is>
          <t>Sweet Green Plump Seeds, Refreshing Anethole</t>
        </is>
      </c>
    </row>
    <row r="29" ht="20" customHeight="1">
      <c r="A29" s="17" t="inlineStr">
        <is>
          <t>KTA-SP-025</t>
        </is>
      </c>
      <c r="B29" s="20" t="inlineStr">
        <is>
          <t>Whole Nutmeg with Shell (Jaifal)</t>
        </is>
      </c>
      <c r="C29" s="17" t="inlineStr">
        <is>
          <t>Single-Origin Spices</t>
        </is>
      </c>
      <c r="D29" s="17" t="inlineStr">
        <is>
          <t>09081110</t>
        </is>
      </c>
      <c r="E29" s="19" t="n">
        <v>680</v>
      </c>
      <c r="F29" s="17" t="inlineStr">
        <is>
          <t>40kg Master Bags</t>
        </is>
      </c>
      <c r="G29" s="17" t="inlineStr">
        <is>
          <t>1kg Foodservice Pack</t>
        </is>
      </c>
      <c r="H29" s="20" t="inlineStr">
        <is>
          <t>Heavy Sound Kernels, Warm Penetrating Scent</t>
        </is>
      </c>
    </row>
    <row r="30" ht="20" customHeight="1">
      <c r="A30" s="13" t="inlineStr">
        <is>
          <t>KTA-SP-026</t>
        </is>
      </c>
      <c r="B30" s="16" t="inlineStr">
        <is>
          <t>Mace Blades Red/Gold (Javantri)</t>
        </is>
      </c>
      <c r="C30" s="13" t="inlineStr">
        <is>
          <t>Single-Origin Spices</t>
        </is>
      </c>
      <c r="D30" s="13" t="inlineStr">
        <is>
          <t>09082110</t>
        </is>
      </c>
      <c r="E30" s="15" t="n">
        <v>1650</v>
      </c>
      <c r="F30" s="13" t="inlineStr">
        <is>
          <t>25kg Master Bags</t>
        </is>
      </c>
      <c r="G30" s="13" t="inlineStr">
        <is>
          <t>1kg Aroma Tin</t>
        </is>
      </c>
      <c r="H30" s="16" t="inlineStr">
        <is>
          <t>Sun-Dried Whole Arils, Delicate Sweet Musk</t>
        </is>
      </c>
    </row>
    <row r="31" ht="20" customHeight="1">
      <c r="A31" s="17" t="inlineStr">
        <is>
          <t>KTA-SP-027</t>
        </is>
      </c>
      <c r="B31" s="20" t="inlineStr">
        <is>
          <t>Royal Garam Masala (Dum Master Blend)</t>
        </is>
      </c>
      <c r="C31" s="17" t="inlineStr">
        <is>
          <t>Culinary Blends</t>
        </is>
      </c>
      <c r="D31" s="17" t="inlineStr">
        <is>
          <t>09109100</t>
        </is>
      </c>
      <c r="E31" s="19" t="n">
        <v>620</v>
      </c>
      <c r="F31" s="17" t="inlineStr">
        <is>
          <t>40kg Master Bags</t>
        </is>
      </c>
      <c r="G31" s="17" t="inlineStr">
        <is>
          <t>1kg Multi-Wall Chef Pouch</t>
        </is>
      </c>
      <c r="H31" s="20" t="inlineStr">
        <is>
          <t>Authentic Whole-Ground Botanical Blend</t>
        </is>
      </c>
    </row>
    <row r="32" ht="20" customHeight="1">
      <c r="A32" s="13" t="inlineStr">
        <is>
          <t>KTA-SP-028</t>
        </is>
      </c>
      <c r="B32" s="16" t="inlineStr">
        <is>
          <t>Royal Biryani Masala (Shahi Dum)</t>
        </is>
      </c>
      <c r="C32" s="13" t="inlineStr">
        <is>
          <t>Culinary Blends</t>
        </is>
      </c>
      <c r="D32" s="13" t="inlineStr">
        <is>
          <t>09109100</t>
        </is>
      </c>
      <c r="E32" s="15" t="n">
        <v>650</v>
      </c>
      <c r="F32" s="13" t="inlineStr">
        <is>
          <t>40kg Master Bags</t>
        </is>
      </c>
      <c r="G32" s="13" t="inlineStr">
        <is>
          <t>1kg Multi-Wall Chef Pouch</t>
        </is>
      </c>
      <c r="H32" s="16" t="inlineStr">
        <is>
          <t>Shahi Jeera, Cardamom, Mace &amp; Star Anise Blend</t>
        </is>
      </c>
    </row>
    <row r="33" ht="20" customHeight="1">
      <c r="A33" s="17" t="inlineStr">
        <is>
          <t>KTA-SP-029</t>
        </is>
      </c>
      <c r="B33" s="20" t="inlineStr">
        <is>
          <t>Black Dry Lemon (Loomi Whole)</t>
        </is>
      </c>
      <c r="C33" s="17" t="inlineStr">
        <is>
          <t>Specialty Botanicals</t>
        </is>
      </c>
      <c r="D33" s="17" t="inlineStr">
        <is>
          <t>08055000</t>
        </is>
      </c>
      <c r="E33" s="19" t="n">
        <v>380</v>
      </c>
      <c r="F33" s="17" t="inlineStr">
        <is>
          <t>25kg Master Bags</t>
        </is>
      </c>
      <c r="G33" s="17" t="inlineStr">
        <is>
          <t>1kg Chef Pouch</t>
        </is>
      </c>
      <c r="H33" s="20" t="inlineStr">
        <is>
          <t>Sun-Cured Dried Loomi Limes, Smokey Citrus</t>
        </is>
      </c>
    </row>
    <row r="34" ht="20" customHeight="1">
      <c r="A34" s="13" t="inlineStr">
        <is>
          <t>KTA-SP-030</t>
        </is>
      </c>
      <c r="B34" s="16" t="inlineStr">
        <is>
          <t>Super Mongra Saffron Grade A1</t>
        </is>
      </c>
      <c r="C34" s="13" t="inlineStr">
        <is>
          <t>Specialty Botanicals</t>
        </is>
      </c>
      <c r="D34" s="13" t="inlineStr">
        <is>
          <t>09102010</t>
        </is>
      </c>
      <c r="E34" s="15" t="n">
        <v>260000</v>
      </c>
      <c r="F34" s="13" t="inlineStr">
        <is>
          <t>1kg Master Packaging</t>
        </is>
      </c>
      <c r="G34" s="13" t="inlineStr">
        <is>
          <t>10g / 50g / 100g Sealed Tins</t>
        </is>
      </c>
      <c r="H34" s="16" t="inlineStr">
        <is>
          <t>Pure Kashmir All-Red Stigmas (Crocin 240+)</t>
        </is>
      </c>
    </row>
    <row r="35" ht="20" customHeight="1">
      <c r="A35" s="17" t="inlineStr">
        <is>
          <t>KTA-DF-001</t>
        </is>
      </c>
      <c r="B35" s="20" t="inlineStr">
        <is>
          <t>W320 White Cashew Kernels (Kaju)</t>
        </is>
      </c>
      <c r="C35" s="17" t="inlineStr">
        <is>
          <t>Dry Fruits &amp; Nuts</t>
        </is>
      </c>
      <c r="D35" s="17" t="inlineStr">
        <is>
          <t>08013100</t>
        </is>
      </c>
      <c r="E35" s="19" t="n">
        <v>740</v>
      </c>
      <c r="F35" s="17" t="inlineStr">
        <is>
          <t>50kg Master Jute Bags</t>
        </is>
      </c>
      <c r="G35" s="17" t="inlineStr">
        <is>
          <t>10kg Vacuum Tin / 1kg Pouch</t>
        </is>
      </c>
      <c r="H35" s="20" t="inlineStr">
        <is>
          <t>Unbroken Plump Ivory Kernels (320 Count/lb)</t>
        </is>
      </c>
    </row>
    <row r="36" ht="20" customHeight="1">
      <c r="A36" s="13" t="inlineStr">
        <is>
          <t>KTA-DF-002</t>
        </is>
      </c>
      <c r="B36" s="16" t="inlineStr">
        <is>
          <t>California Raw Badam (Almonds 18/20)</t>
        </is>
      </c>
      <c r="C36" s="13" t="inlineStr">
        <is>
          <t>Dry Fruits &amp; Nuts</t>
        </is>
      </c>
      <c r="D36" s="13" t="inlineStr">
        <is>
          <t>08021100</t>
        </is>
      </c>
      <c r="E36" s="15" t="n">
        <v>780</v>
      </c>
      <c r="F36" s="13" t="inlineStr">
        <is>
          <t>25kg Master Bags</t>
        </is>
      </c>
      <c r="G36" s="13" t="inlineStr">
        <is>
          <t>1kg Foodservice Pack</t>
        </is>
      </c>
      <c r="H36" s="16" t="inlineStr">
        <is>
          <t>Uniform 18/20 Count, High Natural Oil</t>
        </is>
      </c>
    </row>
    <row r="37" ht="20" customHeight="1">
      <c r="A37" s="17" t="inlineStr">
        <is>
          <t>KTA-DF-003</t>
        </is>
      </c>
      <c r="B37" s="20" t="inlineStr">
        <is>
          <t>Green Golden Raisins (Kismiss)</t>
        </is>
      </c>
      <c r="C37" s="17" t="inlineStr">
        <is>
          <t>Dry Fruits &amp; Nuts</t>
        </is>
      </c>
      <c r="D37" s="17" t="inlineStr">
        <is>
          <t>08062010</t>
        </is>
      </c>
      <c r="E37" s="19" t="n">
        <v>290</v>
      </c>
      <c r="F37" s="17" t="inlineStr">
        <is>
          <t>15kg Master Cartons</t>
        </is>
      </c>
      <c r="G37" s="17" t="inlineStr">
        <is>
          <t>1kg Chef Pouch</t>
        </is>
      </c>
      <c r="H37" s="20" t="inlineStr">
        <is>
          <t>Long Green Plump Sun-Dried Grapes</t>
        </is>
      </c>
    </row>
    <row r="38" ht="20" customHeight="1">
      <c r="A38" s="13" t="inlineStr">
        <is>
          <t>KTA-DF-004</t>
        </is>
      </c>
      <c r="B38" s="16" t="inlineStr">
        <is>
          <t>Roasted &amp; Salted Pistachios (Pista)</t>
        </is>
      </c>
      <c r="C38" s="13" t="inlineStr">
        <is>
          <t>Dry Fruits &amp; Nuts</t>
        </is>
      </c>
      <c r="D38" s="13" t="inlineStr">
        <is>
          <t>08025100</t>
        </is>
      </c>
      <c r="E38" s="15" t="n">
        <v>980</v>
      </c>
      <c r="F38" s="13" t="inlineStr">
        <is>
          <t>10kg Master Cartons</t>
        </is>
      </c>
      <c r="G38" s="13" t="inlineStr">
        <is>
          <t>1kg Vacuum Pouch</t>
        </is>
      </c>
      <c r="H38" s="16" t="inlineStr">
        <is>
          <t>Open-Mouth Iranian/California Jumbo Pods</t>
        </is>
      </c>
    </row>
    <row r="39" ht="20" customHeight="1">
      <c r="A39" s="17" t="inlineStr">
        <is>
          <t>KTA-DF-005</t>
        </is>
      </c>
      <c r="B39" s="20" t="inlineStr">
        <is>
          <t>California Light Walnuts (Akhrot)</t>
        </is>
      </c>
      <c r="C39" s="17" t="inlineStr">
        <is>
          <t>Dry Fruits &amp; Nuts</t>
        </is>
      </c>
      <c r="D39" s="17" t="inlineStr">
        <is>
          <t>08023100</t>
        </is>
      </c>
      <c r="E39" s="19" t="n">
        <v>1150</v>
      </c>
      <c r="F39" s="17" t="inlineStr">
        <is>
          <t>10kg Master Cartons</t>
        </is>
      </c>
      <c r="G39" s="17" t="inlineStr">
        <is>
          <t>1kg Nitrogen Flushed Pouch</t>
        </is>
      </c>
      <c r="H39" s="20" t="inlineStr">
        <is>
          <t>Extra Light Halves &amp; Quarters, Crisp Kernel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16" customWidth="1" min="3" max="3"/>
    <col width="14" customWidth="1" min="4" max="4"/>
    <col width="18" customWidth="1" min="5" max="5"/>
    <col width="20" customWidth="1" min="6" max="6"/>
    <col width="20" customWidth="1" min="7" max="7"/>
  </cols>
  <sheetData>
    <row r="1" ht="34" customHeight="1">
      <c r="A1" s="1" t="inlineStr">
        <is>
          <t>KTA SPICES - SALES TEAM &amp; DESK PERFORMANCE TRACKER</t>
        </is>
      </c>
    </row>
    <row r="2" ht="20" customHeight="1">
      <c r="A2" s="2" t="inlineStr">
        <is>
          <t>Automated Attribution Summary: Assigned Inquiries, Closed Won Conversions &amp; Active Revenue Pipeline</t>
        </is>
      </c>
    </row>
    <row r="3"/>
    <row r="4" ht="24" customHeight="1">
      <c r="A4" s="10" t="inlineStr">
        <is>
          <t>Sales Executive</t>
        </is>
      </c>
      <c r="B4" s="10" t="inlineStr">
        <is>
          <t>Desk / Division</t>
        </is>
      </c>
      <c r="C4" s="10" t="inlineStr">
        <is>
          <t>Leads Assigned</t>
        </is>
      </c>
      <c r="D4" s="10" t="inlineStr">
        <is>
          <t>Deals Won</t>
        </is>
      </c>
      <c r="E4" s="10" t="inlineStr">
        <is>
          <t>Conversion Rate</t>
        </is>
      </c>
      <c r="F4" s="11" t="inlineStr">
        <is>
          <t>Won Revenue (₹)</t>
        </is>
      </c>
      <c r="G4" s="11" t="inlineStr">
        <is>
          <t>Open Pipeline (₹)</t>
        </is>
      </c>
    </row>
    <row r="5" ht="22" customHeight="1">
      <c r="A5" s="49" t="inlineStr">
        <is>
          <t>Anand R.</t>
        </is>
      </c>
      <c r="B5" s="20" t="inlineStr">
        <is>
          <t>General Trade Desk</t>
        </is>
      </c>
      <c r="C5" s="18">
        <f>COUNTIF('Leads CRM Tracker'!M7:M30, "*Anand*")</f>
        <v/>
      </c>
      <c r="D5" s="18">
        <f>COUNTIFS('Leads CRM Tracker'!M7:M30, "*Anand*", 'Leads CRM Tracker'!O7:O30, "Closed Won")</f>
        <v/>
      </c>
      <c r="E5" s="50">
        <f>D5/C5</f>
        <v/>
      </c>
      <c r="F5" s="19">
        <f>SUMIFS('Leads CRM Tracker'!Q7:Q30, 'Leads CRM Tracker'!M7:M30, "*Anand*", 'Leads CRM Tracker'!O7:O30, "Closed Won")</f>
        <v/>
      </c>
      <c r="G5" s="19">
        <f>SUMIFS('Leads CRM Tracker'!Q7:Q30, 'Leads CRM Tracker'!M7:M30, "*Anand*", 'Leads CRM Tracker'!O7:O30, "&lt;&gt;Closed Won", 'Leads CRM Tracker'!O7:O30, "&lt;&gt;Closed Lost")</f>
        <v/>
      </c>
    </row>
    <row r="6" ht="22" customHeight="1">
      <c r="A6" s="49" t="inlineStr">
        <is>
          <t>Kavitha S.</t>
        </is>
      </c>
      <c r="B6" s="20" t="inlineStr">
        <is>
          <t>Hospitality &amp; Hotel Smart</t>
        </is>
      </c>
      <c r="C6" s="18">
        <f>COUNTIF('Leads CRM Tracker'!M7:M30, "*Kavitha*")</f>
        <v/>
      </c>
      <c r="D6" s="18">
        <f>COUNTIFS('Leads CRM Tracker'!M7:M30, "*Kavitha*", 'Leads CRM Tracker'!O7:O30, "Closed Won")</f>
        <v/>
      </c>
      <c r="E6" s="50">
        <f>D6/C6</f>
        <v/>
      </c>
      <c r="F6" s="19">
        <f>SUMIFS('Leads CRM Tracker'!Q7:Q30, 'Leads CRM Tracker'!M7:M30, "*Kavitha*", 'Leads CRM Tracker'!O7:O30, "Closed Won")</f>
        <v/>
      </c>
      <c r="G6" s="19">
        <f>SUMIFS('Leads CRM Tracker'!Q7:Q30, 'Leads CRM Tracker'!M7:M30, "*Kavitha*", 'Leads CRM Tracker'!O7:O30, "&lt;&gt;Closed Won", 'Leads CRM Tracker'!O7:O30, "&lt;&gt;Closed Lost")</f>
        <v/>
      </c>
    </row>
    <row r="7" ht="22" customHeight="1">
      <c r="A7" s="49" t="inlineStr">
        <is>
          <t>Suresh M.</t>
        </is>
      </c>
      <c r="B7" s="20" t="inlineStr">
        <is>
          <t>Wholesale &amp; Commodity Bulk</t>
        </is>
      </c>
      <c r="C7" s="18">
        <f>COUNTIF('Leads CRM Tracker'!M7:M30, "*Suresh*")</f>
        <v/>
      </c>
      <c r="D7" s="18">
        <f>COUNTIFS('Leads CRM Tracker'!M7:M30, "*Suresh*", 'Leads CRM Tracker'!O7:O30, "Closed Won")</f>
        <v/>
      </c>
      <c r="E7" s="50">
        <f>D7/C7</f>
        <v/>
      </c>
      <c r="F7" s="19">
        <f>SUMIFS('Leads CRM Tracker'!Q7:Q30, 'Leads CRM Tracker'!M7:M30, "*Suresh*", 'Leads CRM Tracker'!O7:O30, "Closed Won")</f>
        <v/>
      </c>
      <c r="G7" s="19">
        <f>SUMIFS('Leads CRM Tracker'!Q7:Q30, 'Leads CRM Tracker'!M7:M30, "*Suresh*", 'Leads CRM Tracker'!O7:O30, "&lt;&gt;Closed Won", 'Leads CRM Tracker'!O7:O30, "&lt;&gt;Closed Lost")</f>
        <v/>
      </c>
    </row>
    <row r="8" ht="22" customHeight="1">
      <c r="A8" s="49" t="inlineStr">
        <is>
          <t>Praveen K.</t>
        </is>
      </c>
      <c r="B8" s="20" t="inlineStr">
        <is>
          <t>Key Accounts &amp; Institutional</t>
        </is>
      </c>
      <c r="C8" s="18">
        <f>COUNTIF('Leads CRM Tracker'!M7:M30, "*Praveen*")</f>
        <v/>
      </c>
      <c r="D8" s="18">
        <f>COUNTIFS('Leads CRM Tracker'!M7:M30, "*Praveen*", 'Leads CRM Tracker'!O7:O30, "Closed Won")</f>
        <v/>
      </c>
      <c r="E8" s="50">
        <f>D8/C8</f>
        <v/>
      </c>
      <c r="F8" s="19">
        <f>SUMIFS('Leads CRM Tracker'!Q7:Q30, 'Leads CRM Tracker'!M7:M30, "*Praveen*", 'Leads CRM Tracker'!O7:O30, "Closed Won")</f>
        <v/>
      </c>
      <c r="G8" s="19">
        <f>SUMIFS('Leads CRM Tracker'!Q7:Q30, 'Leads CRM Tracker'!M7:M30, "*Praveen*", 'Leads CRM Tracker'!O7:O30, "&lt;&gt;Closed Won", 'Leads CRM Tracker'!O7:O30, "&lt;&gt;Closed Lost")</f>
        <v/>
      </c>
    </row>
    <row r="9" ht="22" customHeight="1">
      <c r="A9" s="21" t="inlineStr">
        <is>
          <t>TOTALS</t>
        </is>
      </c>
      <c r="B9" s="22" t="inlineStr">
        <is>
          <t>All Sales Desks</t>
        </is>
      </c>
      <c r="C9" s="23">
        <f>SUM(C5:C8)</f>
        <v/>
      </c>
      <c r="D9" s="23">
        <f>SUM(D5:D8)</f>
        <v/>
      </c>
      <c r="E9" s="51">
        <f>D9/C9</f>
        <v/>
      </c>
      <c r="F9" s="24">
        <f>SUM(F5:F8)</f>
        <v/>
      </c>
      <c r="G9" s="24">
        <f>SUM(G5:G8)</f>
        <v/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2026-09-06T16:33:19Z</dcterms:created>
  <dcterms:modified xmlns:dcterms="http://purl.org/dc/terms/" xmlns:xsi="http://www.w3.org/2001/XMLSchema-instance" xsi:type="dcterms:W3CDTF">2026-09-06T16:33:19Z</dcterms:modified>
</cp:coreProperties>
</file>